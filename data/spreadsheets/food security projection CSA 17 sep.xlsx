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 aamir\csa\data\spreadsheets\"/>
    </mc:Choice>
  </mc:AlternateContent>
  <xr:revisionPtr revIDLastSave="0" documentId="13_ncr:1_{7B3DBA36-7EF9-458C-A06C-F234A27D4311}" xr6:coauthVersionLast="47" xr6:coauthVersionMax="47" xr10:uidLastSave="{00000000-0000-0000-0000-000000000000}"/>
  <bookViews>
    <workbookView xWindow="-120" yWindow="-120" windowWidth="38640" windowHeight="21120" activeTab="1" xr2:uid="{0C567E73-5209-4424-A3B7-2282F834EC7B}"/>
  </bookViews>
  <sheets>
    <sheet name="Projections " sheetId="1" r:id="rId1"/>
    <sheet name="csa" sheetId="2" r:id="rId2"/>
    <sheet name="Traditio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/>
  <c r="G11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A18" i="1"/>
  <c r="AA19" i="1" s="1"/>
  <c r="Y18" i="1"/>
  <c r="Y19" i="1" s="1"/>
  <c r="W18" i="1"/>
  <c r="W19" i="1" s="1"/>
  <c r="U18" i="1"/>
  <c r="U19" i="1" s="1"/>
  <c r="S18" i="1"/>
  <c r="S19" i="1" s="1"/>
  <c r="Q18" i="1"/>
  <c r="Q19" i="1" s="1"/>
  <c r="O18" i="1"/>
  <c r="O19" i="1" s="1"/>
  <c r="M18" i="1"/>
  <c r="M19" i="1" s="1"/>
  <c r="K18" i="1"/>
  <c r="K19" i="1" s="1"/>
  <c r="AA17" i="1"/>
  <c r="Y17" i="1"/>
  <c r="W17" i="1"/>
  <c r="U17" i="1"/>
  <c r="S17" i="1"/>
  <c r="Q17" i="1"/>
  <c r="O17" i="1"/>
  <c r="M17" i="1"/>
  <c r="K17" i="1"/>
  <c r="I17" i="1"/>
  <c r="I18" i="1" s="1"/>
  <c r="I19" i="1" s="1"/>
  <c r="G17" i="1"/>
  <c r="G18" i="1" s="1"/>
  <c r="G19" i="1" s="1"/>
</calcChain>
</file>

<file path=xl/sharedStrings.xml><?xml version="1.0" encoding="utf-8"?>
<sst xmlns="http://schemas.openxmlformats.org/spreadsheetml/2006/main" count="28" uniqueCount="16">
  <si>
    <t>Pop</t>
  </si>
  <si>
    <t xml:space="preserve">Total Basin </t>
  </si>
  <si>
    <t xml:space="preserve">Water Maf from Basin </t>
  </si>
  <si>
    <t>Acre land Increase</t>
  </si>
  <si>
    <t xml:space="preserve">Million Acre </t>
  </si>
  <si>
    <t>if these basins are created so it will add more water in MAF and as well as will increse the agri land in million acre.</t>
  </si>
  <si>
    <t>Avl</t>
  </si>
  <si>
    <t>Avl Food</t>
  </si>
  <si>
    <t>Avl Cash</t>
  </si>
  <si>
    <t>Others</t>
  </si>
  <si>
    <t>food Demand</t>
  </si>
  <si>
    <t>Year</t>
  </si>
  <si>
    <t>CSA Availability</t>
  </si>
  <si>
    <t>CSA Food Gap</t>
  </si>
  <si>
    <t>Traditional food gap</t>
  </si>
  <si>
    <t>Traditional Avl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</si>
</sst>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1" fillId="3" borderId="1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2" fontId="0" fillId="0" borderId="1" xfId="0" applyNumberFormat="1" applyBorder="1"/>
    <xf numFmtId="1" fontId="0" fillId="0" borderId="1" xfId="0" applyNumberFormat="1" applyBorder="1"/>
    <xf numFmtId="0" fontId="1" fillId="0" borderId="0" xfId="0" applyFont="1"/>
    <xf numFmtId="0" fontId="1" fillId="10" borderId="1" xfId="0" applyFont="1" applyFill="1" applyBorder="1"/>
    <xf numFmtId="0" fontId="0" fillId="11" borderId="1" xfId="0" applyFill="1" applyBorder="1"/>
    <xf numFmtId="164" fontId="0" fillId="0" borderId="0" xfId="0" applyNumberFormat="1"/>
    <xf numFmtId="1" fontId="0" fillId="0" borderId="0" xfId="0" applyNumberFormat="1"/>
    <xf numFmtId="0" fontId="2" fillId="12" borderId="0" xfId="0" applyFont="1" applyFill="1"/>
    <xf numFmtId="0" fontId="0" fillId="13" borderId="1" xfId="0" applyFill="1" applyBorder="1"/>
    <xf numFmtId="0" fontId="0" fillId="13" borderId="4" xfId="0" applyFill="1" applyBorder="1"/>
    <xf numFmtId="0" fontId="0" fillId="14" borderId="0" xfId="0" applyFill="1"/>
    <xf numFmtId="0" fontId="1" fillId="8" borderId="1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4" borderId="1" xfId="0" applyFill="1" applyBorder="1"/>
    <xf numFmtId="0" fontId="0" fillId="14" borderId="4" xfId="0" applyFill="1" applyBorder="1"/>
    <xf numFmtId="0" fontId="3" fillId="0" borderId="1" xfId="0" applyFont="1" applyFill="1" applyBorder="1"/>
    <xf numFmtId="0" fontId="0" fillId="0" borderId="1" xfId="0" applyFont="1" applyFill="1" applyBorder="1"/>
    <xf numFmtId="0" fontId="0" fillId="0" borderId="0" xfId="0" applyFill="1"/>
    <xf numFmtId="0" fontId="0" fillId="0" borderId="1" xfId="0" applyFont="1" applyFill="1" applyBorder="1" applyAlignment="1">
      <alignment horizontal="right" vertical="center" wrapText="1"/>
    </xf>
    <xf numFmtId="1" fontId="0" fillId="0" borderId="1" xfId="0" applyNumberFormat="1" applyFont="1" applyFill="1" applyBorder="1" applyAlignment="1">
      <alignment horizontal="right" vertical="center" wrapText="1"/>
    </xf>
    <xf numFmtId="164" fontId="0" fillId="0" borderId="1" xfId="0" applyNumberFormat="1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07F1-8DB6-48EE-BB11-41934B4D5F15}">
  <dimension ref="E4:AB30"/>
  <sheetViews>
    <sheetView workbookViewId="0">
      <selection activeCell="G11" sqref="G11"/>
    </sheetView>
  </sheetViews>
  <sheetFormatPr defaultRowHeight="15" x14ac:dyDescent="0.25"/>
  <cols>
    <col min="4" max="4" width="8.140625" customWidth="1"/>
    <col min="5" max="5" width="9.140625" hidden="1" customWidth="1"/>
    <col min="6" max="6" width="21.140625" customWidth="1"/>
    <col min="7" max="7" width="9" bestFit="1" customWidth="1"/>
    <col min="27" max="27" width="12.85546875" customWidth="1"/>
  </cols>
  <sheetData>
    <row r="4" spans="6:28" x14ac:dyDescent="0.25">
      <c r="F4" s="18" t="s">
        <v>11</v>
      </c>
      <c r="G4" s="4">
        <v>2026</v>
      </c>
      <c r="H4" s="4">
        <v>2027</v>
      </c>
      <c r="I4" s="4">
        <v>2028</v>
      </c>
      <c r="J4" s="4">
        <v>2029</v>
      </c>
      <c r="K4" s="4">
        <v>2030</v>
      </c>
      <c r="L4" s="4">
        <v>2031</v>
      </c>
      <c r="M4" s="4">
        <v>2032</v>
      </c>
      <c r="N4" s="4">
        <v>2033</v>
      </c>
      <c r="O4" s="4">
        <v>2034</v>
      </c>
      <c r="P4" s="4">
        <v>2035</v>
      </c>
      <c r="Q4" s="4">
        <v>2036</v>
      </c>
      <c r="R4" s="4">
        <v>2037</v>
      </c>
      <c r="S4" s="4">
        <v>2038</v>
      </c>
      <c r="T4" s="4">
        <v>2039</v>
      </c>
      <c r="U4" s="4">
        <v>2040</v>
      </c>
      <c r="V4" s="4">
        <v>2041</v>
      </c>
      <c r="W4" s="4">
        <v>2042</v>
      </c>
      <c r="X4" s="4">
        <v>2043</v>
      </c>
      <c r="Y4" s="4">
        <v>2044</v>
      </c>
      <c r="Z4" s="4">
        <v>2045</v>
      </c>
      <c r="AA4" s="4">
        <v>2046</v>
      </c>
      <c r="AB4" s="4">
        <v>2047</v>
      </c>
    </row>
    <row r="5" spans="6:28" x14ac:dyDescent="0.25">
      <c r="F5" s="5" t="s">
        <v>10</v>
      </c>
      <c r="G5">
        <v>92.790049999999994</v>
      </c>
      <c r="H5">
        <v>95.852919999999997</v>
      </c>
      <c r="I5">
        <v>98.557224239999996</v>
      </c>
      <c r="J5">
        <v>101.23294317328001</v>
      </c>
      <c r="K5">
        <v>103.980107923086</v>
      </c>
      <c r="L5" s="2">
        <v>106.9824</v>
      </c>
      <c r="M5" s="2">
        <v>110.0714</v>
      </c>
      <c r="N5" s="2">
        <v>113.2496</v>
      </c>
      <c r="O5" s="2">
        <v>116.5196</v>
      </c>
      <c r="P5" s="2">
        <v>119.884</v>
      </c>
      <c r="Q5" s="2">
        <v>123.3455</v>
      </c>
      <c r="R5" s="2">
        <v>126.907</v>
      </c>
      <c r="S5" s="2">
        <v>130.57130000000001</v>
      </c>
      <c r="T5" s="2">
        <v>134.3415</v>
      </c>
      <c r="U5" s="2">
        <v>138.22040000000001</v>
      </c>
      <c r="V5" s="2">
        <v>142.2114</v>
      </c>
      <c r="W5" s="2">
        <v>146.3176</v>
      </c>
      <c r="X5" s="2">
        <v>150.54239999999999</v>
      </c>
      <c r="Y5" s="2">
        <v>154.88919999999999</v>
      </c>
      <c r="Z5" s="2">
        <v>159.36150000000001</v>
      </c>
      <c r="AA5" s="2">
        <v>163.96289999999999</v>
      </c>
      <c r="AB5" s="2">
        <v>168.69710000000001</v>
      </c>
    </row>
    <row r="6" spans="6:28" x14ac:dyDescent="0.25">
      <c r="F6" s="6" t="s">
        <v>12</v>
      </c>
      <c r="G6" s="2">
        <v>82.855000000000004</v>
      </c>
      <c r="H6" s="2">
        <v>83.269300000000001</v>
      </c>
      <c r="I6" s="2">
        <v>83.685599999999994</v>
      </c>
      <c r="J6" s="2">
        <v>84.103999999999999</v>
      </c>
      <c r="K6" s="2">
        <v>84.524600000000007</v>
      </c>
      <c r="L6" s="2">
        <v>84.947199999999995</v>
      </c>
      <c r="M6" s="2">
        <v>85.371899999999997</v>
      </c>
      <c r="N6" s="2">
        <v>85.7988</v>
      </c>
      <c r="O6" s="2">
        <v>86.227800000000002</v>
      </c>
      <c r="P6" s="2">
        <v>86.658900000000003</v>
      </c>
      <c r="Q6" s="2">
        <v>87.092200000000005</v>
      </c>
      <c r="R6" s="2">
        <v>87.527699999999996</v>
      </c>
      <c r="S6" s="2">
        <v>87.965299999999999</v>
      </c>
      <c r="T6" s="2">
        <v>88.405100000000004</v>
      </c>
      <c r="U6" s="2">
        <v>88.847200000000001</v>
      </c>
      <c r="V6" s="2">
        <v>89.291399999999996</v>
      </c>
      <c r="W6" s="2">
        <v>89.737899999999996</v>
      </c>
      <c r="X6" s="2">
        <v>90.186499999999995</v>
      </c>
      <c r="Y6" s="2">
        <v>90.637500000000003</v>
      </c>
      <c r="Z6" s="2">
        <v>91.090699999999998</v>
      </c>
      <c r="AA6" s="2">
        <v>91.546099999999996</v>
      </c>
      <c r="AB6" s="2">
        <v>92.003900000000002</v>
      </c>
    </row>
    <row r="7" spans="6:28" x14ac:dyDescent="0.25">
      <c r="F7" s="7" t="s">
        <v>0</v>
      </c>
      <c r="G7" s="3">
        <v>254.71</v>
      </c>
      <c r="H7" s="3">
        <v>259.8</v>
      </c>
      <c r="I7" s="3">
        <v>265</v>
      </c>
      <c r="J7" s="3">
        <v>270.3</v>
      </c>
      <c r="K7" s="3">
        <v>275.70999999999998</v>
      </c>
      <c r="L7" s="3">
        <v>281.22000000000003</v>
      </c>
      <c r="M7" s="3">
        <v>286.83999999999997</v>
      </c>
      <c r="N7" s="3">
        <v>292.58</v>
      </c>
      <c r="O7" s="3">
        <v>298.43</v>
      </c>
      <c r="P7" s="3">
        <v>304.39999999999998</v>
      </c>
      <c r="Q7" s="3">
        <v>310.49</v>
      </c>
      <c r="R7" s="3">
        <v>316.7</v>
      </c>
      <c r="S7" s="3">
        <v>323.02999999999997</v>
      </c>
      <c r="T7" s="3">
        <v>329.49</v>
      </c>
      <c r="U7" s="3">
        <v>336.08</v>
      </c>
      <c r="V7" s="3">
        <v>342.81</v>
      </c>
      <c r="W7" s="3">
        <v>349.66</v>
      </c>
      <c r="X7" s="3">
        <v>356.66</v>
      </c>
      <c r="Y7" s="3">
        <v>363.79</v>
      </c>
      <c r="Z7" s="3">
        <v>371.06</v>
      </c>
      <c r="AA7" s="3">
        <v>378.49</v>
      </c>
      <c r="AB7" s="3">
        <v>386.06</v>
      </c>
    </row>
    <row r="8" spans="6:28" hidden="1" x14ac:dyDescent="0.25">
      <c r="F8" s="14" t="s">
        <v>6</v>
      </c>
      <c r="G8" s="15">
        <v>82.855000000000004</v>
      </c>
      <c r="H8" s="15">
        <v>79.806600000000003</v>
      </c>
      <c r="I8" s="15">
        <v>78.18419999999999</v>
      </c>
      <c r="J8" s="15">
        <v>76.371799999999993</v>
      </c>
      <c r="K8" s="15">
        <v>74.439400000000006</v>
      </c>
      <c r="L8" s="15">
        <v>74.349999999999994</v>
      </c>
      <c r="M8" s="15">
        <v>74.099999999999994</v>
      </c>
      <c r="N8" s="15">
        <v>73.88</v>
      </c>
      <c r="O8" s="15">
        <v>73.650000000000006</v>
      </c>
      <c r="P8" s="15">
        <v>72.58</v>
      </c>
      <c r="Q8" s="15">
        <v>72.2</v>
      </c>
      <c r="R8" s="15">
        <v>71.819999999999993</v>
      </c>
      <c r="S8" s="15">
        <v>71.53</v>
      </c>
      <c r="T8" s="15">
        <v>71.11</v>
      </c>
      <c r="U8" s="15">
        <v>70.91</v>
      </c>
      <c r="V8" s="15">
        <v>70.52</v>
      </c>
      <c r="W8" s="15">
        <v>70.209999999999994</v>
      </c>
      <c r="X8" s="15">
        <v>69.98</v>
      </c>
      <c r="Y8" s="15">
        <v>69.5</v>
      </c>
      <c r="Z8" s="15">
        <v>69.13</v>
      </c>
      <c r="AA8" s="15">
        <v>68.95</v>
      </c>
      <c r="AB8" s="15">
        <v>68.2</v>
      </c>
    </row>
    <row r="9" spans="6:28" x14ac:dyDescent="0.25">
      <c r="F9" t="s">
        <v>13</v>
      </c>
      <c r="H9">
        <f t="shared" ref="H9:AB9" si="0">H5-H6</f>
        <v>12.583619999999996</v>
      </c>
      <c r="I9">
        <f t="shared" si="0"/>
        <v>14.871624240000003</v>
      </c>
      <c r="J9">
        <f t="shared" si="0"/>
        <v>17.128943173280007</v>
      </c>
      <c r="K9">
        <f t="shared" si="0"/>
        <v>19.455507923085989</v>
      </c>
      <c r="L9">
        <f t="shared" si="0"/>
        <v>22.035200000000003</v>
      </c>
      <c r="M9">
        <f t="shared" si="0"/>
        <v>24.6995</v>
      </c>
      <c r="N9">
        <f t="shared" si="0"/>
        <v>27.450800000000001</v>
      </c>
      <c r="O9">
        <f t="shared" si="0"/>
        <v>30.291799999999995</v>
      </c>
      <c r="P9">
        <f t="shared" si="0"/>
        <v>33.225099999999998</v>
      </c>
      <c r="Q9">
        <f t="shared" si="0"/>
        <v>36.253299999999996</v>
      </c>
      <c r="R9">
        <f t="shared" si="0"/>
        <v>39.379300000000001</v>
      </c>
      <c r="S9">
        <f t="shared" si="0"/>
        <v>42.606000000000009</v>
      </c>
      <c r="T9">
        <f t="shared" si="0"/>
        <v>45.936399999999992</v>
      </c>
      <c r="U9">
        <f t="shared" si="0"/>
        <v>49.373200000000011</v>
      </c>
      <c r="V9">
        <f t="shared" si="0"/>
        <v>52.92</v>
      </c>
      <c r="W9">
        <f t="shared" si="0"/>
        <v>56.579700000000003</v>
      </c>
      <c r="X9">
        <f t="shared" si="0"/>
        <v>60.355899999999991</v>
      </c>
      <c r="Y9">
        <f t="shared" si="0"/>
        <v>64.251699999999985</v>
      </c>
      <c r="Z9">
        <f t="shared" si="0"/>
        <v>68.270800000000008</v>
      </c>
      <c r="AA9">
        <f t="shared" si="0"/>
        <v>72.416799999999995</v>
      </c>
      <c r="AB9">
        <f t="shared" si="0"/>
        <v>76.693200000000004</v>
      </c>
    </row>
    <row r="10" spans="6:28" x14ac:dyDescent="0.25">
      <c r="F10" t="s">
        <v>15</v>
      </c>
      <c r="G10" s="19">
        <v>82.855000000000004</v>
      </c>
      <c r="H10" s="19">
        <v>79.806600000000003</v>
      </c>
      <c r="I10" s="19">
        <v>78.18419999999999</v>
      </c>
      <c r="J10" s="19">
        <v>76.371799999999993</v>
      </c>
      <c r="K10" s="19">
        <v>74.439400000000006</v>
      </c>
      <c r="L10" s="20">
        <v>74.349999999999994</v>
      </c>
      <c r="M10" s="20">
        <v>74.099999999999994</v>
      </c>
      <c r="N10" s="20">
        <v>73.88</v>
      </c>
      <c r="O10" s="20">
        <v>73.650000000000006</v>
      </c>
      <c r="P10" s="20">
        <v>72.58</v>
      </c>
      <c r="Q10" s="20">
        <v>72.2</v>
      </c>
      <c r="R10" s="20">
        <v>71.819999999999993</v>
      </c>
      <c r="S10" s="20">
        <v>71.53</v>
      </c>
      <c r="T10" s="20">
        <v>71.11</v>
      </c>
      <c r="U10" s="20">
        <v>70.91</v>
      </c>
      <c r="V10" s="20">
        <v>70.52</v>
      </c>
      <c r="W10" s="20">
        <v>70.209999999999994</v>
      </c>
      <c r="X10" s="20">
        <v>69.98</v>
      </c>
      <c r="Y10" s="20">
        <v>69.5</v>
      </c>
      <c r="Z10" s="20">
        <v>69.13</v>
      </c>
      <c r="AA10" s="20">
        <v>68.95</v>
      </c>
      <c r="AB10" s="20">
        <v>68.2</v>
      </c>
    </row>
    <row r="11" spans="6:28" x14ac:dyDescent="0.25">
      <c r="F11" t="s">
        <v>14</v>
      </c>
      <c r="G11">
        <f>G5-G10</f>
        <v>9.9350499999999897</v>
      </c>
      <c r="H11">
        <f t="shared" ref="H11:AB11" si="1">H5-H10</f>
        <v>16.046319999999994</v>
      </c>
      <c r="I11">
        <f t="shared" si="1"/>
        <v>20.373024240000007</v>
      </c>
      <c r="J11">
        <f t="shared" si="1"/>
        <v>24.861143173280013</v>
      </c>
      <c r="K11">
        <f t="shared" si="1"/>
        <v>29.540707923085989</v>
      </c>
      <c r="L11">
        <f t="shared" si="1"/>
        <v>32.632400000000004</v>
      </c>
      <c r="M11">
        <f t="shared" si="1"/>
        <v>35.971400000000003</v>
      </c>
      <c r="N11">
        <f t="shared" si="1"/>
        <v>39.369600000000005</v>
      </c>
      <c r="O11">
        <f t="shared" si="1"/>
        <v>42.869599999999991</v>
      </c>
      <c r="P11">
        <f t="shared" si="1"/>
        <v>47.304000000000002</v>
      </c>
      <c r="Q11">
        <f t="shared" si="1"/>
        <v>51.145499999999998</v>
      </c>
      <c r="R11">
        <f t="shared" si="1"/>
        <v>55.087000000000003</v>
      </c>
      <c r="S11">
        <f t="shared" si="1"/>
        <v>59.041300000000007</v>
      </c>
      <c r="T11">
        <f t="shared" si="1"/>
        <v>63.231499999999997</v>
      </c>
      <c r="U11">
        <f t="shared" si="1"/>
        <v>67.310400000000016</v>
      </c>
      <c r="V11">
        <f t="shared" si="1"/>
        <v>71.691400000000002</v>
      </c>
      <c r="W11">
        <f t="shared" si="1"/>
        <v>76.107600000000005</v>
      </c>
      <c r="X11">
        <f t="shared" si="1"/>
        <v>80.562399999999982</v>
      </c>
      <c r="Y11">
        <f t="shared" si="1"/>
        <v>85.389199999999988</v>
      </c>
      <c r="Z11">
        <f t="shared" si="1"/>
        <v>90.231500000000011</v>
      </c>
      <c r="AA11">
        <f t="shared" si="1"/>
        <v>95.012899999999988</v>
      </c>
      <c r="AB11">
        <f t="shared" si="1"/>
        <v>100.4971</v>
      </c>
    </row>
    <row r="12" spans="6:28" x14ac:dyDescent="0.25"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5" spans="6:28" x14ac:dyDescent="0.25">
      <c r="F15" s="1"/>
      <c r="G15" s="1">
        <v>2027</v>
      </c>
      <c r="H15" s="1">
        <v>2028</v>
      </c>
      <c r="I15" s="1">
        <v>2029</v>
      </c>
      <c r="J15" s="1">
        <v>2030</v>
      </c>
      <c r="K15" s="1">
        <v>2031</v>
      </c>
      <c r="L15" s="1">
        <v>2032</v>
      </c>
      <c r="M15" s="1">
        <v>2033</v>
      </c>
      <c r="N15" s="1">
        <v>2034</v>
      </c>
      <c r="O15" s="1">
        <v>2035</v>
      </c>
      <c r="P15" s="1">
        <v>2036</v>
      </c>
      <c r="Q15" s="1">
        <v>2037</v>
      </c>
      <c r="R15" s="1">
        <v>2038</v>
      </c>
      <c r="S15" s="1">
        <v>2039</v>
      </c>
      <c r="T15" s="1">
        <v>2040</v>
      </c>
      <c r="U15" s="1">
        <v>2041</v>
      </c>
      <c r="V15" s="1">
        <v>2042</v>
      </c>
      <c r="W15" s="1">
        <v>2043</v>
      </c>
      <c r="X15" s="1">
        <v>2044</v>
      </c>
      <c r="Y15" s="1">
        <v>2045</v>
      </c>
      <c r="Z15" s="1">
        <v>2046</v>
      </c>
      <c r="AA15" s="1">
        <v>2047</v>
      </c>
    </row>
    <row r="16" spans="6:28" x14ac:dyDescent="0.25">
      <c r="F16" s="8" t="s">
        <v>1</v>
      </c>
      <c r="G16" s="22">
        <v>2</v>
      </c>
      <c r="H16" s="22"/>
      <c r="I16" s="22">
        <v>4</v>
      </c>
      <c r="J16" s="22"/>
      <c r="K16" s="22">
        <v>6</v>
      </c>
      <c r="L16" s="22"/>
      <c r="M16" s="22">
        <v>8</v>
      </c>
      <c r="N16" s="22"/>
      <c r="O16" s="22">
        <v>10</v>
      </c>
      <c r="P16" s="22"/>
      <c r="Q16" s="22">
        <v>12</v>
      </c>
      <c r="R16" s="22"/>
      <c r="S16" s="22">
        <v>14</v>
      </c>
      <c r="T16" s="22"/>
      <c r="U16" s="22">
        <v>16</v>
      </c>
      <c r="V16" s="22"/>
      <c r="W16" s="22">
        <v>18</v>
      </c>
      <c r="X16" s="22"/>
      <c r="Y16" s="22">
        <v>20</v>
      </c>
      <c r="Z16" s="22"/>
      <c r="AA16" s="9">
        <v>22</v>
      </c>
    </row>
    <row r="17" spans="6:28" x14ac:dyDescent="0.25">
      <c r="F17" s="10" t="s">
        <v>2</v>
      </c>
      <c r="G17" s="23">
        <f>G16/3</f>
        <v>0.66666666666666663</v>
      </c>
      <c r="H17" s="24"/>
      <c r="I17" s="23">
        <f>I16/3</f>
        <v>1.3333333333333333</v>
      </c>
      <c r="J17" s="24"/>
      <c r="K17" s="23">
        <f>K16/3</f>
        <v>2</v>
      </c>
      <c r="L17" s="24"/>
      <c r="M17" s="23">
        <f>M16/3</f>
        <v>2.6666666666666665</v>
      </c>
      <c r="N17" s="24"/>
      <c r="O17" s="23">
        <f>O16/3</f>
        <v>3.3333333333333335</v>
      </c>
      <c r="P17" s="24"/>
      <c r="Q17" s="23">
        <f>Q16/3</f>
        <v>4</v>
      </c>
      <c r="R17" s="24"/>
      <c r="S17" s="23">
        <f>S16/3</f>
        <v>4.666666666666667</v>
      </c>
      <c r="T17" s="24"/>
      <c r="U17" s="23">
        <f>U16/3</f>
        <v>5.333333333333333</v>
      </c>
      <c r="V17" s="24"/>
      <c r="W17" s="23">
        <f>W16/3</f>
        <v>6</v>
      </c>
      <c r="X17" s="24"/>
      <c r="Y17" s="23">
        <f>Y16/3</f>
        <v>6.666666666666667</v>
      </c>
      <c r="Z17" s="24"/>
      <c r="AA17" s="11">
        <f>AA16/3</f>
        <v>7.333333333333333</v>
      </c>
    </row>
    <row r="18" spans="6:28" x14ac:dyDescent="0.25">
      <c r="F18" s="10" t="s">
        <v>3</v>
      </c>
      <c r="G18" s="25">
        <f>G17*500000</f>
        <v>333333.33333333331</v>
      </c>
      <c r="H18" s="26"/>
      <c r="I18" s="25">
        <f>I17*500000</f>
        <v>666666.66666666663</v>
      </c>
      <c r="J18" s="26"/>
      <c r="K18" s="25">
        <f>K17*500000</f>
        <v>1000000</v>
      </c>
      <c r="L18" s="26"/>
      <c r="M18" s="25">
        <f>M17*500000</f>
        <v>1333333.3333333333</v>
      </c>
      <c r="N18" s="26"/>
      <c r="O18" s="25">
        <f>O17*500000</f>
        <v>1666666.6666666667</v>
      </c>
      <c r="P18" s="26"/>
      <c r="Q18" s="25">
        <f>Q17*500000</f>
        <v>2000000</v>
      </c>
      <c r="R18" s="26"/>
      <c r="S18" s="25">
        <f>S17*500000</f>
        <v>2333333.3333333335</v>
      </c>
      <c r="T18" s="26"/>
      <c r="U18" s="25">
        <f>U17*500000</f>
        <v>2666666.6666666665</v>
      </c>
      <c r="V18" s="26"/>
      <c r="W18" s="25">
        <f>W17*500000</f>
        <v>3000000</v>
      </c>
      <c r="X18" s="26"/>
      <c r="Y18" s="25">
        <f>Y17*500000</f>
        <v>3333333.3333333335</v>
      </c>
      <c r="Z18" s="26"/>
      <c r="AA18" s="12">
        <f>AA17*500000</f>
        <v>3666666.6666666665</v>
      </c>
    </row>
    <row r="19" spans="6:28" x14ac:dyDescent="0.25">
      <c r="F19" s="10" t="s">
        <v>4</v>
      </c>
      <c r="G19" s="23">
        <f>G18/1000000</f>
        <v>0.33333333333333331</v>
      </c>
      <c r="H19" s="24"/>
      <c r="I19" s="23">
        <f t="shared" ref="I19:AA19" si="2">I18/1000000</f>
        <v>0.66666666666666663</v>
      </c>
      <c r="J19" s="24"/>
      <c r="K19" s="23">
        <f t="shared" si="2"/>
        <v>1</v>
      </c>
      <c r="L19" s="24"/>
      <c r="M19" s="23">
        <f t="shared" si="2"/>
        <v>1.3333333333333333</v>
      </c>
      <c r="N19" s="24"/>
      <c r="O19" s="23">
        <f t="shared" si="2"/>
        <v>1.6666666666666667</v>
      </c>
      <c r="P19" s="24"/>
      <c r="Q19" s="23">
        <f t="shared" si="2"/>
        <v>2</v>
      </c>
      <c r="R19" s="24"/>
      <c r="S19" s="23">
        <f t="shared" si="2"/>
        <v>2.3333333333333335</v>
      </c>
      <c r="T19" s="24"/>
      <c r="U19" s="23">
        <f t="shared" si="2"/>
        <v>2.6666666666666665</v>
      </c>
      <c r="V19" s="24"/>
      <c r="W19" s="23">
        <f t="shared" si="2"/>
        <v>3</v>
      </c>
      <c r="X19" s="24"/>
      <c r="Y19" s="23">
        <f t="shared" si="2"/>
        <v>3.3333333333333335</v>
      </c>
      <c r="Z19" s="24"/>
      <c r="AA19" s="11">
        <f t="shared" si="2"/>
        <v>3.6666666666666665</v>
      </c>
    </row>
    <row r="23" spans="6:28" x14ac:dyDescent="0.25">
      <c r="O23" s="27"/>
      <c r="P23" s="27"/>
      <c r="Q23" s="27"/>
      <c r="R23" s="27"/>
      <c r="S23" s="27"/>
      <c r="T23" s="27"/>
      <c r="U23" s="27"/>
      <c r="V23" s="27"/>
    </row>
    <row r="24" spans="6:28" x14ac:dyDescent="0.25">
      <c r="G24" s="13" t="s">
        <v>5</v>
      </c>
      <c r="H24" s="13"/>
      <c r="I24" s="13"/>
      <c r="J24" s="13"/>
      <c r="K24" s="13"/>
      <c r="L24" s="13"/>
      <c r="M24" s="13"/>
      <c r="N24" s="13"/>
    </row>
    <row r="28" spans="6:28" x14ac:dyDescent="0.25">
      <c r="F28" t="s">
        <v>7</v>
      </c>
      <c r="G28" s="17">
        <v>73.746000000000009</v>
      </c>
      <c r="H28" s="17">
        <v>70.98</v>
      </c>
      <c r="I28" s="17">
        <v>69.699999999999989</v>
      </c>
      <c r="J28" s="17">
        <v>68.05</v>
      </c>
      <c r="K28" s="17">
        <v>66.37</v>
      </c>
      <c r="L28" s="17">
        <v>66.193804999999998</v>
      </c>
      <c r="M28" s="17">
        <v>65.971229999999991</v>
      </c>
      <c r="N28" s="17">
        <v>65.775363999999996</v>
      </c>
      <c r="O28" s="17">
        <v>65.570594999999997</v>
      </c>
      <c r="P28" s="17">
        <v>64.617974000000004</v>
      </c>
      <c r="Q28" s="17">
        <v>64.279660000000007</v>
      </c>
      <c r="R28" s="17">
        <v>63.941345999999996</v>
      </c>
      <c r="S28" s="17">
        <v>63.683158999999996</v>
      </c>
      <c r="T28" s="17">
        <v>63.309232999999999</v>
      </c>
      <c r="U28" s="17">
        <v>63.131172999999997</v>
      </c>
      <c r="V28" s="17">
        <v>62.783955999999996</v>
      </c>
      <c r="W28" s="17">
        <v>62.50796299999999</v>
      </c>
      <c r="X28" s="17">
        <v>62.303194000000005</v>
      </c>
      <c r="Y28" s="17">
        <v>61.87585</v>
      </c>
      <c r="Z28" s="17">
        <v>61.546438999999992</v>
      </c>
      <c r="AA28" s="17">
        <v>61.386185000000005</v>
      </c>
      <c r="AB28" s="17">
        <v>60.71846</v>
      </c>
    </row>
    <row r="29" spans="6:28" x14ac:dyDescent="0.25">
      <c r="F29" t="s">
        <v>8</v>
      </c>
      <c r="G29" s="16">
        <v>7.8299999999999992</v>
      </c>
      <c r="H29" s="16">
        <v>7.6499999999999995</v>
      </c>
      <c r="I29" s="16">
        <v>7.41</v>
      </c>
      <c r="J29" s="16">
        <v>7.3500000000000005</v>
      </c>
      <c r="K29" s="16">
        <v>7.1999999999999993</v>
      </c>
      <c r="L29" s="16">
        <v>7.0260749999999987</v>
      </c>
      <c r="M29" s="16">
        <v>7.0024499999999987</v>
      </c>
      <c r="N29" s="16">
        <v>6.9816599999999989</v>
      </c>
      <c r="O29" s="16">
        <v>6.9599249999999993</v>
      </c>
      <c r="P29" s="16">
        <v>6.8588099999999992</v>
      </c>
      <c r="Q29" s="16">
        <v>6.8228999999999997</v>
      </c>
      <c r="R29" s="16">
        <v>6.7869899999999985</v>
      </c>
      <c r="S29" s="16">
        <v>6.7595849999999995</v>
      </c>
      <c r="T29" s="16">
        <v>6.7198949999999993</v>
      </c>
      <c r="U29" s="16">
        <v>6.7009949999999989</v>
      </c>
      <c r="V29" s="16">
        <v>6.6641399999999988</v>
      </c>
      <c r="W29" s="16">
        <v>6.6348449999999985</v>
      </c>
      <c r="X29" s="16">
        <v>6.6131099999999998</v>
      </c>
      <c r="Y29" s="16">
        <v>6.5677499999999993</v>
      </c>
      <c r="Z29" s="16">
        <v>6.5327849999999987</v>
      </c>
      <c r="AA29" s="16">
        <v>6.5157749999999997</v>
      </c>
      <c r="AB29" s="16">
        <v>6.4448999999999996</v>
      </c>
    </row>
    <row r="30" spans="6:28" x14ac:dyDescent="0.25">
      <c r="F30" t="s">
        <v>9</v>
      </c>
      <c r="G30" s="16">
        <v>1.2789999999999999</v>
      </c>
      <c r="H30" s="16">
        <v>1.1765999999999999</v>
      </c>
      <c r="I30" s="16">
        <v>1.0741999999999998</v>
      </c>
      <c r="J30" s="16">
        <v>0.97179999999999978</v>
      </c>
      <c r="K30" s="16">
        <v>0.86939999999999973</v>
      </c>
      <c r="L30" s="16">
        <v>1.14499</v>
      </c>
      <c r="M30" s="16">
        <v>1.14114</v>
      </c>
      <c r="N30" s="16">
        <v>1.1377519999999999</v>
      </c>
      <c r="O30" s="16">
        <v>1.1342100000000002</v>
      </c>
      <c r="P30" s="16">
        <v>1.1177319999999999</v>
      </c>
      <c r="Q30" s="16">
        <v>1.11188</v>
      </c>
      <c r="R30" s="16">
        <v>1.106028</v>
      </c>
      <c r="S30" s="16">
        <v>1.1015620000000002</v>
      </c>
      <c r="T30" s="16">
        <v>1.095094</v>
      </c>
      <c r="U30" s="16">
        <v>1.092014</v>
      </c>
      <c r="V30" s="16">
        <v>1.0860080000000001</v>
      </c>
      <c r="W30" s="16">
        <v>1.081234</v>
      </c>
      <c r="X30" s="16">
        <v>1.0776920000000001</v>
      </c>
      <c r="Y30" s="16">
        <v>1.0703</v>
      </c>
      <c r="Z30" s="16">
        <v>1.064602</v>
      </c>
      <c r="AA30" s="16">
        <v>1.0618300000000001</v>
      </c>
      <c r="AB30" s="16">
        <v>1.0502800000000001</v>
      </c>
    </row>
  </sheetData>
  <mergeCells count="41">
    <mergeCell ref="O23:V23"/>
    <mergeCell ref="Q19:R19"/>
    <mergeCell ref="S19:T19"/>
    <mergeCell ref="U19:V19"/>
    <mergeCell ref="W19:X19"/>
    <mergeCell ref="Y19:Z19"/>
    <mergeCell ref="G19:H19"/>
    <mergeCell ref="I19:J19"/>
    <mergeCell ref="K19:L19"/>
    <mergeCell ref="M19:N19"/>
    <mergeCell ref="O19:P19"/>
    <mergeCell ref="S17:T17"/>
    <mergeCell ref="U17:V17"/>
    <mergeCell ref="W17:X17"/>
    <mergeCell ref="Y17:Z17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S16:T16"/>
    <mergeCell ref="U16:V16"/>
    <mergeCell ref="W16:X16"/>
    <mergeCell ref="Y16:Z16"/>
    <mergeCell ref="G17:H17"/>
    <mergeCell ref="I17:J17"/>
    <mergeCell ref="K17:L17"/>
    <mergeCell ref="M17:N17"/>
    <mergeCell ref="O17:P17"/>
    <mergeCell ref="Q17:R17"/>
    <mergeCell ref="G16:H16"/>
    <mergeCell ref="I16:J16"/>
    <mergeCell ref="K16:L16"/>
    <mergeCell ref="M16:N16"/>
    <mergeCell ref="O16:P16"/>
    <mergeCell ref="Q16:R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DE92-4D34-4DCC-8748-B96951023191}">
  <sheetPr>
    <tabColor theme="1" tint="4.9989318521683403E-2"/>
  </sheetPr>
  <dimension ref="A1:AB40"/>
  <sheetViews>
    <sheetView tabSelected="1" workbookViewId="0">
      <selection activeCell="J27" sqref="J27"/>
    </sheetView>
  </sheetViews>
  <sheetFormatPr defaultRowHeight="15" x14ac:dyDescent="0.25"/>
  <cols>
    <col min="1" max="1" width="5" bestFit="1" customWidth="1"/>
    <col min="2" max="2" width="13.140625" bestFit="1" customWidth="1"/>
    <col min="3" max="3" width="15" bestFit="1" customWidth="1"/>
    <col min="4" max="4" width="4.42578125" bestFit="1" customWidth="1"/>
    <col min="6" max="6" width="14" bestFit="1" customWidth="1"/>
    <col min="7" max="7" width="19" bestFit="1" customWidth="1"/>
  </cols>
  <sheetData>
    <row r="1" spans="1:23" x14ac:dyDescent="0.25">
      <c r="A1" s="34" t="s">
        <v>11</v>
      </c>
      <c r="B1" s="34" t="s">
        <v>10</v>
      </c>
      <c r="C1" s="34" t="s">
        <v>12</v>
      </c>
      <c r="D1" s="34" t="s">
        <v>0</v>
      </c>
      <c r="E1" s="34" t="s">
        <v>13</v>
      </c>
      <c r="F1" s="34" t="s">
        <v>15</v>
      </c>
      <c r="G1" s="34" t="s">
        <v>14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x14ac:dyDescent="0.25">
      <c r="A2" s="34">
        <v>2026</v>
      </c>
      <c r="B2" s="34">
        <v>92.790049999999994</v>
      </c>
      <c r="C2" s="36">
        <v>82.855000000000004</v>
      </c>
      <c r="D2" s="37">
        <v>254.71</v>
      </c>
      <c r="E2" s="38">
        <f>B2-C2</f>
        <v>9.9350499999999897</v>
      </c>
      <c r="F2" s="34">
        <v>82.855000000000004</v>
      </c>
      <c r="G2" s="34">
        <f>B2-F2</f>
        <v>9.9350499999999897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 spans="1:23" x14ac:dyDescent="0.25">
      <c r="A3" s="34">
        <v>2027</v>
      </c>
      <c r="B3" s="34">
        <v>95.852919999999997</v>
      </c>
      <c r="C3" s="36">
        <v>83.269300000000001</v>
      </c>
      <c r="D3" s="37">
        <v>259.8</v>
      </c>
      <c r="E3" s="38">
        <f t="shared" ref="E3:E23" si="0">B3-C3</f>
        <v>12.583619999999996</v>
      </c>
      <c r="F3" s="34">
        <v>79.806600000000003</v>
      </c>
      <c r="G3" s="34">
        <f t="shared" ref="G3:G23" si="1">B3-F3</f>
        <v>16.046319999999994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 spans="1:23" x14ac:dyDescent="0.25">
      <c r="A4" s="34">
        <v>2028</v>
      </c>
      <c r="B4" s="34">
        <v>98.557224239999996</v>
      </c>
      <c r="C4" s="36">
        <v>83.685599999999994</v>
      </c>
      <c r="D4" s="37">
        <v>265</v>
      </c>
      <c r="E4" s="38">
        <f t="shared" si="0"/>
        <v>14.871624240000003</v>
      </c>
      <c r="F4" s="34">
        <v>78.18419999999999</v>
      </c>
      <c r="G4" s="34">
        <f t="shared" si="1"/>
        <v>20.373024240000007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 spans="1:23" x14ac:dyDescent="0.25">
      <c r="A5" s="34">
        <v>2029</v>
      </c>
      <c r="B5" s="34">
        <v>101.23294317328001</v>
      </c>
      <c r="C5" s="36">
        <v>84.103999999999999</v>
      </c>
      <c r="D5" s="37">
        <v>270.3</v>
      </c>
      <c r="E5" s="38">
        <f t="shared" si="0"/>
        <v>17.128943173280007</v>
      </c>
      <c r="F5" s="34">
        <v>76.371799999999993</v>
      </c>
      <c r="G5" s="34">
        <f t="shared" si="1"/>
        <v>24.861143173280013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 spans="1:23" x14ac:dyDescent="0.25">
      <c r="A6" s="34">
        <v>2030</v>
      </c>
      <c r="B6" s="34">
        <v>103.980107923086</v>
      </c>
      <c r="C6" s="36">
        <v>84.524600000000007</v>
      </c>
      <c r="D6" s="37">
        <v>275.70999999999998</v>
      </c>
      <c r="E6" s="38">
        <f t="shared" si="0"/>
        <v>19.455507923085989</v>
      </c>
      <c r="F6" s="34">
        <v>74.439400000000006</v>
      </c>
      <c r="G6" s="34">
        <f t="shared" si="1"/>
        <v>29.540707923085989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 x14ac:dyDescent="0.25">
      <c r="A7" s="34">
        <v>2031</v>
      </c>
      <c r="B7" s="36">
        <v>106.9824</v>
      </c>
      <c r="C7" s="36">
        <v>84.947199999999995</v>
      </c>
      <c r="D7" s="37">
        <v>281.22000000000003</v>
      </c>
      <c r="E7" s="38">
        <f t="shared" si="0"/>
        <v>22.035200000000003</v>
      </c>
      <c r="F7" s="34">
        <v>74.349999999999994</v>
      </c>
      <c r="G7" s="34">
        <f t="shared" si="1"/>
        <v>32.632400000000004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3" x14ac:dyDescent="0.25">
      <c r="A8" s="34">
        <v>2032</v>
      </c>
      <c r="B8" s="36">
        <v>110.0714</v>
      </c>
      <c r="C8" s="36">
        <v>85.371899999999997</v>
      </c>
      <c r="D8" s="37">
        <v>286.83999999999997</v>
      </c>
      <c r="E8" s="38">
        <f t="shared" si="0"/>
        <v>24.6995</v>
      </c>
      <c r="F8" s="34">
        <v>74.099999999999994</v>
      </c>
      <c r="G8" s="34">
        <f t="shared" si="1"/>
        <v>35.971400000000003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 x14ac:dyDescent="0.25">
      <c r="A9" s="34">
        <v>2033</v>
      </c>
      <c r="B9" s="36">
        <v>113.2496</v>
      </c>
      <c r="C9" s="36">
        <v>85.7988</v>
      </c>
      <c r="D9" s="37">
        <v>292.58</v>
      </c>
      <c r="E9" s="38">
        <f t="shared" si="0"/>
        <v>27.450800000000001</v>
      </c>
      <c r="F9" s="34">
        <v>73.88</v>
      </c>
      <c r="G9" s="34">
        <f t="shared" si="1"/>
        <v>39.369600000000005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 x14ac:dyDescent="0.25">
      <c r="A10" s="34">
        <v>2034</v>
      </c>
      <c r="B10" s="36">
        <v>116.5196</v>
      </c>
      <c r="C10" s="36">
        <v>86.227800000000002</v>
      </c>
      <c r="D10" s="37">
        <v>298.43</v>
      </c>
      <c r="E10" s="38">
        <f t="shared" si="0"/>
        <v>30.291799999999995</v>
      </c>
      <c r="F10" s="34">
        <v>73.650000000000006</v>
      </c>
      <c r="G10" s="34">
        <f t="shared" si="1"/>
        <v>42.869599999999991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 x14ac:dyDescent="0.25">
      <c r="A11" s="34">
        <v>2035</v>
      </c>
      <c r="B11" s="36">
        <v>119.884</v>
      </c>
      <c r="C11" s="36">
        <v>86.658900000000003</v>
      </c>
      <c r="D11" s="37">
        <v>304.39999999999998</v>
      </c>
      <c r="E11" s="38">
        <f t="shared" si="0"/>
        <v>33.225099999999998</v>
      </c>
      <c r="F11" s="34">
        <v>72.58</v>
      </c>
      <c r="G11" s="34">
        <f t="shared" si="1"/>
        <v>47.304000000000002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 x14ac:dyDescent="0.25">
      <c r="A12" s="34">
        <v>2036</v>
      </c>
      <c r="B12" s="36">
        <v>123.3455</v>
      </c>
      <c r="C12" s="36">
        <v>87.092200000000005</v>
      </c>
      <c r="D12" s="37">
        <v>310.49</v>
      </c>
      <c r="E12" s="38">
        <f t="shared" si="0"/>
        <v>36.253299999999996</v>
      </c>
      <c r="F12" s="34">
        <v>72.2</v>
      </c>
      <c r="G12" s="34">
        <f t="shared" si="1"/>
        <v>51.145499999999998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spans="1:23" x14ac:dyDescent="0.25">
      <c r="A13" s="34">
        <v>2037</v>
      </c>
      <c r="B13" s="36">
        <v>126.907</v>
      </c>
      <c r="C13" s="36">
        <v>87.527699999999996</v>
      </c>
      <c r="D13" s="37">
        <v>316.7</v>
      </c>
      <c r="E13" s="38">
        <f t="shared" si="0"/>
        <v>39.379300000000001</v>
      </c>
      <c r="F13" s="34">
        <v>71.819999999999993</v>
      </c>
      <c r="G13" s="34">
        <f t="shared" si="1"/>
        <v>55.087000000000003</v>
      </c>
    </row>
    <row r="14" spans="1:23" x14ac:dyDescent="0.25">
      <c r="A14" s="34">
        <v>2038</v>
      </c>
      <c r="B14" s="36">
        <v>130.57130000000001</v>
      </c>
      <c r="C14" s="36">
        <v>87.965299999999999</v>
      </c>
      <c r="D14" s="37">
        <v>323.02999999999997</v>
      </c>
      <c r="E14" s="38">
        <f t="shared" si="0"/>
        <v>42.606000000000009</v>
      </c>
      <c r="F14" s="34">
        <v>71.53</v>
      </c>
      <c r="G14" s="34">
        <f t="shared" si="1"/>
        <v>59.041300000000007</v>
      </c>
    </row>
    <row r="15" spans="1:23" x14ac:dyDescent="0.25">
      <c r="A15" s="34">
        <v>2039</v>
      </c>
      <c r="B15" s="36">
        <v>134.3415</v>
      </c>
      <c r="C15" s="36">
        <v>88.405100000000004</v>
      </c>
      <c r="D15" s="37">
        <v>329.49</v>
      </c>
      <c r="E15" s="38">
        <f t="shared" si="0"/>
        <v>45.936399999999992</v>
      </c>
      <c r="F15" s="34">
        <v>71.11</v>
      </c>
      <c r="G15" s="34">
        <f t="shared" si="1"/>
        <v>63.231499999999997</v>
      </c>
    </row>
    <row r="16" spans="1:23" x14ac:dyDescent="0.25">
      <c r="A16" s="34">
        <v>2040</v>
      </c>
      <c r="B16" s="36">
        <v>138.22040000000001</v>
      </c>
      <c r="C16" s="36">
        <v>88.847200000000001</v>
      </c>
      <c r="D16" s="37">
        <v>336.08</v>
      </c>
      <c r="E16" s="38">
        <f t="shared" si="0"/>
        <v>49.373200000000011</v>
      </c>
      <c r="F16" s="34">
        <v>70.91</v>
      </c>
      <c r="G16" s="34">
        <f t="shared" si="1"/>
        <v>67.310400000000016</v>
      </c>
    </row>
    <row r="17" spans="1:7" x14ac:dyDescent="0.25">
      <c r="A17" s="34">
        <v>2041</v>
      </c>
      <c r="B17" s="36">
        <v>142.2114</v>
      </c>
      <c r="C17" s="36">
        <v>89.291399999999996</v>
      </c>
      <c r="D17" s="37">
        <v>342.81</v>
      </c>
      <c r="E17" s="38">
        <f t="shared" si="0"/>
        <v>52.92</v>
      </c>
      <c r="F17" s="34">
        <v>70.52</v>
      </c>
      <c r="G17" s="34">
        <f t="shared" si="1"/>
        <v>71.691400000000002</v>
      </c>
    </row>
    <row r="18" spans="1:7" x14ac:dyDescent="0.25">
      <c r="A18" s="34">
        <v>2042</v>
      </c>
      <c r="B18" s="36">
        <v>146.3176</v>
      </c>
      <c r="C18" s="36">
        <v>89.737899999999996</v>
      </c>
      <c r="D18" s="37">
        <v>349.66</v>
      </c>
      <c r="E18" s="38">
        <f t="shared" si="0"/>
        <v>56.579700000000003</v>
      </c>
      <c r="F18" s="34">
        <v>70.209999999999994</v>
      </c>
      <c r="G18" s="34">
        <f t="shared" si="1"/>
        <v>76.107600000000005</v>
      </c>
    </row>
    <row r="19" spans="1:7" x14ac:dyDescent="0.25">
      <c r="A19" s="34">
        <v>2043</v>
      </c>
      <c r="B19" s="36">
        <v>150.54239999999999</v>
      </c>
      <c r="C19" s="36">
        <v>90.186499999999995</v>
      </c>
      <c r="D19" s="37">
        <v>356.66</v>
      </c>
      <c r="E19" s="38">
        <f t="shared" si="0"/>
        <v>60.355899999999991</v>
      </c>
      <c r="F19" s="34">
        <v>69.98</v>
      </c>
      <c r="G19" s="34">
        <f t="shared" si="1"/>
        <v>80.562399999999982</v>
      </c>
    </row>
    <row r="20" spans="1:7" x14ac:dyDescent="0.25">
      <c r="A20" s="34">
        <v>2044</v>
      </c>
      <c r="B20" s="36">
        <v>154.88919999999999</v>
      </c>
      <c r="C20" s="36">
        <v>90.637500000000003</v>
      </c>
      <c r="D20" s="37">
        <v>363.79</v>
      </c>
      <c r="E20" s="38">
        <f t="shared" si="0"/>
        <v>64.251699999999985</v>
      </c>
      <c r="F20" s="34">
        <v>69.5</v>
      </c>
      <c r="G20" s="34">
        <f t="shared" si="1"/>
        <v>85.389199999999988</v>
      </c>
    </row>
    <row r="21" spans="1:7" x14ac:dyDescent="0.25">
      <c r="A21" s="34">
        <v>2045</v>
      </c>
      <c r="B21" s="36">
        <v>159.36150000000001</v>
      </c>
      <c r="C21" s="36">
        <v>91.090699999999998</v>
      </c>
      <c r="D21" s="37">
        <v>371.06</v>
      </c>
      <c r="E21" s="38">
        <f t="shared" si="0"/>
        <v>68.270800000000008</v>
      </c>
      <c r="F21" s="34">
        <v>69.13</v>
      </c>
      <c r="G21" s="34">
        <f t="shared" si="1"/>
        <v>90.231500000000011</v>
      </c>
    </row>
    <row r="22" spans="1:7" x14ac:dyDescent="0.25">
      <c r="A22" s="34">
        <v>2046</v>
      </c>
      <c r="B22" s="36">
        <v>163.96289999999999</v>
      </c>
      <c r="C22" s="36">
        <v>91.546099999999996</v>
      </c>
      <c r="D22" s="37">
        <v>378.49</v>
      </c>
      <c r="E22" s="38">
        <f t="shared" si="0"/>
        <v>72.416799999999995</v>
      </c>
      <c r="F22" s="34">
        <v>68.95</v>
      </c>
      <c r="G22" s="34">
        <f t="shared" si="1"/>
        <v>95.012899999999988</v>
      </c>
    </row>
    <row r="23" spans="1:7" x14ac:dyDescent="0.25">
      <c r="A23" s="34">
        <v>2047</v>
      </c>
      <c r="B23" s="36">
        <v>168.69710000000001</v>
      </c>
      <c r="C23" s="36">
        <v>92.003900000000002</v>
      </c>
      <c r="D23" s="37">
        <v>386.06</v>
      </c>
      <c r="E23" s="38">
        <f t="shared" si="0"/>
        <v>76.693200000000004</v>
      </c>
      <c r="F23" s="34">
        <v>68.2</v>
      </c>
      <c r="G23" s="34">
        <f t="shared" si="1"/>
        <v>100.4971</v>
      </c>
    </row>
    <row r="40" spans="12:28" x14ac:dyDescent="0.25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78E6-5D11-43B3-AFC5-8CC40500E241}">
  <dimension ref="A1:E23"/>
  <sheetViews>
    <sheetView workbookViewId="0">
      <selection activeCell="G18" sqref="G18"/>
    </sheetView>
  </sheetViews>
  <sheetFormatPr defaultRowHeight="15" x14ac:dyDescent="0.25"/>
  <cols>
    <col min="5" max="5" width="19" bestFit="1" customWidth="1"/>
  </cols>
  <sheetData>
    <row r="1" spans="1:5" x14ac:dyDescent="0.25">
      <c r="A1" s="33" t="s">
        <v>11</v>
      </c>
      <c r="B1" s="33" t="s">
        <v>10</v>
      </c>
      <c r="C1" s="33" t="s">
        <v>0</v>
      </c>
      <c r="D1" s="33" t="s">
        <v>15</v>
      </c>
      <c r="E1" s="33" t="s">
        <v>14</v>
      </c>
    </row>
    <row r="2" spans="1:5" x14ac:dyDescent="0.25">
      <c r="A2" s="28">
        <v>2026</v>
      </c>
      <c r="B2" s="28">
        <v>92.790049999999994</v>
      </c>
      <c r="C2" s="29">
        <v>254.71</v>
      </c>
      <c r="D2" s="31">
        <v>82.855000000000004</v>
      </c>
      <c r="E2" s="28">
        <f>B2-D2</f>
        <v>9.9350499999999897</v>
      </c>
    </row>
    <row r="3" spans="1:5" x14ac:dyDescent="0.25">
      <c r="A3" s="28">
        <v>2027</v>
      </c>
      <c r="B3" s="28">
        <v>95.852919999999997</v>
      </c>
      <c r="C3" s="29">
        <v>259.8</v>
      </c>
      <c r="D3" s="31">
        <v>79.806600000000003</v>
      </c>
      <c r="E3" s="28">
        <f>B3-D3</f>
        <v>16.046319999999994</v>
      </c>
    </row>
    <row r="4" spans="1:5" x14ac:dyDescent="0.25">
      <c r="A4" s="28">
        <v>2028</v>
      </c>
      <c r="B4" s="28">
        <v>98.557224239999996</v>
      </c>
      <c r="C4" s="29">
        <v>265</v>
      </c>
      <c r="D4" s="31">
        <v>78.18419999999999</v>
      </c>
      <c r="E4" s="28">
        <f>B4-D4</f>
        <v>20.373024240000007</v>
      </c>
    </row>
    <row r="5" spans="1:5" x14ac:dyDescent="0.25">
      <c r="A5" s="28">
        <v>2029</v>
      </c>
      <c r="B5" s="28">
        <v>101.23294317328001</v>
      </c>
      <c r="C5" s="29">
        <v>270.3</v>
      </c>
      <c r="D5" s="31">
        <v>76.371799999999993</v>
      </c>
      <c r="E5" s="28">
        <f>B5-D5</f>
        <v>24.861143173280013</v>
      </c>
    </row>
    <row r="6" spans="1:5" x14ac:dyDescent="0.25">
      <c r="A6" s="28">
        <v>2030</v>
      </c>
      <c r="B6" s="28">
        <v>103.980107923086</v>
      </c>
      <c r="C6" s="29">
        <v>275.70999999999998</v>
      </c>
      <c r="D6" s="31">
        <v>74.439400000000006</v>
      </c>
      <c r="E6" s="28">
        <f>B6-D6</f>
        <v>29.540707923085989</v>
      </c>
    </row>
    <row r="7" spans="1:5" x14ac:dyDescent="0.25">
      <c r="A7" s="28">
        <v>2031</v>
      </c>
      <c r="B7" s="30">
        <v>106.9824</v>
      </c>
      <c r="C7" s="29">
        <v>281.22000000000003</v>
      </c>
      <c r="D7" s="31">
        <v>74.349999999999994</v>
      </c>
      <c r="E7" s="28">
        <f>B7-D7</f>
        <v>32.632400000000004</v>
      </c>
    </row>
    <row r="8" spans="1:5" x14ac:dyDescent="0.25">
      <c r="A8" s="28">
        <v>2032</v>
      </c>
      <c r="B8" s="30">
        <v>110.0714</v>
      </c>
      <c r="C8" s="29">
        <v>286.83999999999997</v>
      </c>
      <c r="D8" s="31">
        <v>74.099999999999994</v>
      </c>
      <c r="E8" s="28">
        <f>B8-D8</f>
        <v>35.971400000000003</v>
      </c>
    </row>
    <row r="9" spans="1:5" x14ac:dyDescent="0.25">
      <c r="A9" s="28">
        <v>2033</v>
      </c>
      <c r="B9" s="30">
        <v>113.2496</v>
      </c>
      <c r="C9" s="29">
        <v>292.58</v>
      </c>
      <c r="D9" s="31">
        <v>73.88</v>
      </c>
      <c r="E9" s="28">
        <f>B9-D9</f>
        <v>39.369600000000005</v>
      </c>
    </row>
    <row r="10" spans="1:5" x14ac:dyDescent="0.25">
      <c r="A10" s="28">
        <v>2034</v>
      </c>
      <c r="B10" s="30">
        <v>116.5196</v>
      </c>
      <c r="C10" s="29">
        <v>298.43</v>
      </c>
      <c r="D10" s="31">
        <v>73.650000000000006</v>
      </c>
      <c r="E10" s="28">
        <f>B10-D10</f>
        <v>42.869599999999991</v>
      </c>
    </row>
    <row r="11" spans="1:5" x14ac:dyDescent="0.25">
      <c r="A11" s="28">
        <v>2035</v>
      </c>
      <c r="B11" s="30">
        <v>119.884</v>
      </c>
      <c r="C11" s="29">
        <v>304.39999999999998</v>
      </c>
      <c r="D11" s="31">
        <v>72.58</v>
      </c>
      <c r="E11" s="28">
        <f>B11-D11</f>
        <v>47.304000000000002</v>
      </c>
    </row>
    <row r="12" spans="1:5" x14ac:dyDescent="0.25">
      <c r="A12" s="28">
        <v>2036</v>
      </c>
      <c r="B12" s="30">
        <v>123.3455</v>
      </c>
      <c r="C12" s="29">
        <v>310.49</v>
      </c>
      <c r="D12" s="31">
        <v>72.2</v>
      </c>
      <c r="E12" s="28">
        <f>B12-D12</f>
        <v>51.145499999999998</v>
      </c>
    </row>
    <row r="13" spans="1:5" x14ac:dyDescent="0.25">
      <c r="A13" s="28">
        <v>2037</v>
      </c>
      <c r="B13" s="30">
        <v>126.907</v>
      </c>
      <c r="C13" s="29">
        <v>316.7</v>
      </c>
      <c r="D13" s="31">
        <v>71.819999999999993</v>
      </c>
      <c r="E13" s="28">
        <f>B13-D13</f>
        <v>55.087000000000003</v>
      </c>
    </row>
    <row r="14" spans="1:5" x14ac:dyDescent="0.25">
      <c r="A14" s="28">
        <v>2038</v>
      </c>
      <c r="B14" s="30">
        <v>130.57130000000001</v>
      </c>
      <c r="C14" s="29">
        <v>323.02999999999997</v>
      </c>
      <c r="D14" s="31">
        <v>71.53</v>
      </c>
      <c r="E14" s="28">
        <f>B14-D14</f>
        <v>59.041300000000007</v>
      </c>
    </row>
    <row r="15" spans="1:5" x14ac:dyDescent="0.25">
      <c r="A15" s="28">
        <v>2039</v>
      </c>
      <c r="B15" s="30">
        <v>134.3415</v>
      </c>
      <c r="C15" s="29">
        <v>329.49</v>
      </c>
      <c r="D15" s="31">
        <v>71.11</v>
      </c>
      <c r="E15" s="28">
        <f>B15-D15</f>
        <v>63.231499999999997</v>
      </c>
    </row>
    <row r="16" spans="1:5" x14ac:dyDescent="0.25">
      <c r="A16" s="28">
        <v>2040</v>
      </c>
      <c r="B16" s="30">
        <v>138.22040000000001</v>
      </c>
      <c r="C16" s="29">
        <v>336.08</v>
      </c>
      <c r="D16" s="31">
        <v>70.91</v>
      </c>
      <c r="E16" s="28">
        <f>B16-D16</f>
        <v>67.310400000000016</v>
      </c>
    </row>
    <row r="17" spans="1:5" x14ac:dyDescent="0.25">
      <c r="A17" s="28">
        <v>2041</v>
      </c>
      <c r="B17" s="30">
        <v>142.2114</v>
      </c>
      <c r="C17" s="29">
        <v>342.81</v>
      </c>
      <c r="D17" s="31">
        <v>70.52</v>
      </c>
      <c r="E17" s="28">
        <f>B17-D17</f>
        <v>71.691400000000002</v>
      </c>
    </row>
    <row r="18" spans="1:5" x14ac:dyDescent="0.25">
      <c r="A18" s="28">
        <v>2042</v>
      </c>
      <c r="B18" s="30">
        <v>146.3176</v>
      </c>
      <c r="C18" s="29">
        <v>349.66</v>
      </c>
      <c r="D18" s="31">
        <v>70.209999999999994</v>
      </c>
      <c r="E18" s="28">
        <f>B18-D18</f>
        <v>76.107600000000005</v>
      </c>
    </row>
    <row r="19" spans="1:5" x14ac:dyDescent="0.25">
      <c r="A19" s="28">
        <v>2043</v>
      </c>
      <c r="B19" s="30">
        <v>150.54239999999999</v>
      </c>
      <c r="C19" s="29">
        <v>356.66</v>
      </c>
      <c r="D19" s="31">
        <v>69.98</v>
      </c>
      <c r="E19" s="28">
        <f>B19-D19</f>
        <v>80.562399999999982</v>
      </c>
    </row>
    <row r="20" spans="1:5" x14ac:dyDescent="0.25">
      <c r="A20" s="28">
        <v>2044</v>
      </c>
      <c r="B20" s="30">
        <v>154.88919999999999</v>
      </c>
      <c r="C20" s="29">
        <v>363.79</v>
      </c>
      <c r="D20" s="31">
        <v>69.5</v>
      </c>
      <c r="E20" s="28">
        <f>B20-D20</f>
        <v>85.389199999999988</v>
      </c>
    </row>
    <row r="21" spans="1:5" x14ac:dyDescent="0.25">
      <c r="A21" s="28">
        <v>2045</v>
      </c>
      <c r="B21" s="30">
        <v>159.36150000000001</v>
      </c>
      <c r="C21" s="29">
        <v>371.06</v>
      </c>
      <c r="D21" s="31">
        <v>69.13</v>
      </c>
      <c r="E21" s="28">
        <f>B21-D21</f>
        <v>90.231500000000011</v>
      </c>
    </row>
    <row r="22" spans="1:5" x14ac:dyDescent="0.25">
      <c r="A22" s="28">
        <v>2046</v>
      </c>
      <c r="B22" s="30">
        <v>163.96289999999999</v>
      </c>
      <c r="C22" s="29">
        <v>378.49</v>
      </c>
      <c r="D22" s="31">
        <v>68.95</v>
      </c>
      <c r="E22" s="28">
        <f>B22-D22</f>
        <v>95.012899999999988</v>
      </c>
    </row>
    <row r="23" spans="1:5" x14ac:dyDescent="0.25">
      <c r="A23">
        <v>2047</v>
      </c>
      <c r="B23" s="2">
        <v>168.69710000000001</v>
      </c>
      <c r="C23" s="3">
        <v>386.06</v>
      </c>
      <c r="D23" s="32">
        <v>68.2</v>
      </c>
      <c r="E23">
        <f>B23-D23</f>
        <v>100.4971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Projections </vt:lpstr>
      <vt:lpstr>csa</vt:lpstr>
      <vt:lpstr>Traditional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Aziz</dc:creator>
  <cp:lastModifiedBy>user</cp:lastModifiedBy>
  <dcterms:created xsi:type="dcterms:W3CDTF">2026-09-17T05:15:01Z</dcterms:created>
  <dcterms:modified xsi:type="dcterms:W3CDTF">2026-10-01T06:11:30Z</dcterms:modified>
</cp:coreProperties>
</file>