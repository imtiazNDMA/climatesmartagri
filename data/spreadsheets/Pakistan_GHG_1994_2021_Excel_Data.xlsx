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1605junaid\Desktop\New folder\Aamir khan CSA Portal\"/>
    </mc:Choice>
  </mc:AlternateContent>
  <xr:revisionPtr revIDLastSave="0" documentId="13_ncr:1_{03BCCFEA-A0A7-4FE0-B162-97A25015CB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HG_1994_2021" sheetId="1" r:id="rId1"/>
    <sheet name="Metadata" sheetId="2" r:id="rId2"/>
  </sheets>
  <definedNames>
    <definedName name="_xlnm._FilterDatabase" localSheetId="0" hidden="1">GHG_1994_2021!$A$1:$F$29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</calcChain>
</file>

<file path=xl/sharedStrings.xml><?xml version="1.0" encoding="utf-8"?>
<sst xmlns="http://schemas.openxmlformats.org/spreadsheetml/2006/main" count="47" uniqueCount="21">
  <si>
    <t>Year</t>
  </si>
  <si>
    <t>CO2 (MtCO2e)</t>
  </si>
  <si>
    <t>CH4 (MtCO2e)</t>
  </si>
  <si>
    <t>N2O (MtCO2e)</t>
  </si>
  <si>
    <t>Total GHG (MtCO2e)</t>
  </si>
  <si>
    <t>Data Status</t>
  </si>
  <si>
    <t>Official reported inventory</t>
  </si>
  <si>
    <t>Interpolated between official inventory years</t>
  </si>
  <si>
    <t>Item</t>
  </si>
  <si>
    <t>Details</t>
  </si>
  <si>
    <t>Official source</t>
  </si>
  <si>
    <t>Pakistan Third National Communication (NC3), UNFCCC, 2025</t>
  </si>
  <si>
    <t>Unit</t>
  </si>
  <si>
    <t>MtCO2e = million tonnes CO2 equivalent</t>
  </si>
  <si>
    <t>Important note</t>
  </si>
  <si>
    <t>CO2, CH4 and N2O values are expressed as CO2-equivalent, not physical gas mass.</t>
  </si>
  <si>
    <t>Interpolated years</t>
  </si>
  <si>
    <t>Non-inventory years are linear interpolations and must be labeled as modeled/estimated, not official inventory values.</t>
  </si>
  <si>
    <t>Use in CSA portal</t>
  </si>
  <si>
    <t>Use official years for reporting; use the interpolated series only for visualization/trend analysis.</t>
  </si>
  <si>
    <t xml:space="preserve"> (MtCO2e) mean Million tonns Equelant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</si>
</sst>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5" x14ac:dyDescent="0.25"/>
  <cols>
    <col min="1" max="1" width="9.5703125" bestFit="1" customWidth="1"/>
    <col min="2" max="2" width="18.42578125" bestFit="1" customWidth="1"/>
    <col min="3" max="3" width="18.28515625" bestFit="1" customWidth="1"/>
    <col min="4" max="4" width="18.7109375" bestFit="1" customWidth="1"/>
    <col min="5" max="5" width="24" bestFit="1" customWidth="1"/>
    <col min="6" max="6" width="45" customWidth="1"/>
    <col min="7" max="7" width="40.5703125" customWidth="1"/>
  </cols>
  <sheetData>
    <row r="1" spans="1:7" x14ac:dyDescent="0.25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12" t="s">
        <v>5</v>
      </c>
      <c r="G1" s="11" t="s">
        <v>20</v>
      </c>
    </row>
    <row r="2" spans="1:7" x14ac:dyDescent="0.25">
      <c r="A2" s="10">
        <v>1994</v>
      </c>
      <c r="B2" s="8">
        <v>94.57</v>
      </c>
      <c r="C2" s="8">
        <v>72.27</v>
      </c>
      <c r="D2" s="8">
        <v>11</v>
      </c>
      <c r="E2" s="8">
        <f>SUM(B2:D2)</f>
        <v>177.83999999999997</v>
      </c>
      <c r="F2" s="9" t="s">
        <v>6</v>
      </c>
    </row>
    <row r="3" spans="1:7" x14ac:dyDescent="0.25">
      <c r="A3" s="8">
        <v>1995</v>
      </c>
      <c r="B3" s="8">
        <v>99.88</v>
      </c>
      <c r="C3" s="8">
        <v>75.84</v>
      </c>
      <c r="D3" s="8">
        <v>12.52</v>
      </c>
      <c r="E3" s="8">
        <f t="shared" ref="E3:E29" si="0">SUM(B3:D3)</f>
        <v>188.24</v>
      </c>
      <c r="F3" s="2" t="s">
        <v>7</v>
      </c>
    </row>
    <row r="4" spans="1:7" x14ac:dyDescent="0.25">
      <c r="A4" s="8">
        <v>1996</v>
      </c>
      <c r="B4" s="8">
        <v>105.18</v>
      </c>
      <c r="C4" s="8">
        <v>79.41</v>
      </c>
      <c r="D4" s="8">
        <v>14.04</v>
      </c>
      <c r="E4" s="8">
        <f t="shared" si="0"/>
        <v>198.63</v>
      </c>
      <c r="F4" s="2" t="s">
        <v>7</v>
      </c>
    </row>
    <row r="5" spans="1:7" x14ac:dyDescent="0.25">
      <c r="A5" s="8">
        <v>1997</v>
      </c>
      <c r="B5" s="8">
        <v>110.48</v>
      </c>
      <c r="C5" s="8">
        <v>82.98</v>
      </c>
      <c r="D5" s="8">
        <v>15.56</v>
      </c>
      <c r="E5" s="8">
        <f t="shared" si="0"/>
        <v>209.02</v>
      </c>
      <c r="F5" s="2" t="s">
        <v>7</v>
      </c>
    </row>
    <row r="6" spans="1:7" x14ac:dyDescent="0.25">
      <c r="A6" s="8">
        <v>1998</v>
      </c>
      <c r="B6" s="8">
        <v>115.79</v>
      </c>
      <c r="C6" s="8">
        <v>86.56</v>
      </c>
      <c r="D6" s="8">
        <v>17.07</v>
      </c>
      <c r="E6" s="8">
        <f t="shared" si="0"/>
        <v>219.42000000000002</v>
      </c>
      <c r="F6" s="2" t="s">
        <v>7</v>
      </c>
    </row>
    <row r="7" spans="1:7" x14ac:dyDescent="0.25">
      <c r="A7" s="8">
        <v>1999</v>
      </c>
      <c r="B7" s="8">
        <v>121.1</v>
      </c>
      <c r="C7" s="8">
        <v>90.13</v>
      </c>
      <c r="D7" s="8">
        <v>18.59</v>
      </c>
      <c r="E7" s="8">
        <f t="shared" si="0"/>
        <v>229.82</v>
      </c>
      <c r="F7" s="2" t="s">
        <v>7</v>
      </c>
    </row>
    <row r="8" spans="1:7" x14ac:dyDescent="0.25">
      <c r="A8" s="8">
        <v>2000</v>
      </c>
      <c r="B8" s="8">
        <v>126.4</v>
      </c>
      <c r="C8" s="8">
        <v>93.7</v>
      </c>
      <c r="D8" s="8">
        <v>20.11</v>
      </c>
      <c r="E8" s="8">
        <f t="shared" si="0"/>
        <v>240.21000000000004</v>
      </c>
      <c r="F8" s="2" t="s">
        <v>7</v>
      </c>
    </row>
    <row r="9" spans="1:7" x14ac:dyDescent="0.25">
      <c r="A9" s="8">
        <v>2001</v>
      </c>
      <c r="B9" s="8">
        <v>131.69999999999999</v>
      </c>
      <c r="C9" s="8">
        <v>97.27</v>
      </c>
      <c r="D9" s="8">
        <v>21.63</v>
      </c>
      <c r="E9" s="8">
        <f t="shared" si="0"/>
        <v>250.59999999999997</v>
      </c>
      <c r="F9" s="2" t="s">
        <v>7</v>
      </c>
    </row>
    <row r="10" spans="1:7" x14ac:dyDescent="0.25">
      <c r="A10" s="8">
        <v>2002</v>
      </c>
      <c r="B10" s="8">
        <v>137.01</v>
      </c>
      <c r="C10" s="8">
        <v>100.84</v>
      </c>
      <c r="D10" s="8">
        <v>23.15</v>
      </c>
      <c r="E10" s="8">
        <f t="shared" si="0"/>
        <v>261</v>
      </c>
      <c r="F10" s="2" t="s">
        <v>7</v>
      </c>
    </row>
    <row r="11" spans="1:7" x14ac:dyDescent="0.25">
      <c r="A11" s="8">
        <v>2003</v>
      </c>
      <c r="B11" s="8">
        <v>142.32</v>
      </c>
      <c r="C11" s="8">
        <v>104.41</v>
      </c>
      <c r="D11" s="8">
        <v>24.67</v>
      </c>
      <c r="E11" s="8">
        <f t="shared" si="0"/>
        <v>271.39999999999998</v>
      </c>
      <c r="F11" s="2" t="s">
        <v>7</v>
      </c>
    </row>
    <row r="12" spans="1:7" x14ac:dyDescent="0.25">
      <c r="A12" s="8">
        <v>2004</v>
      </c>
      <c r="B12" s="8">
        <v>147.62</v>
      </c>
      <c r="C12" s="8">
        <v>107.98</v>
      </c>
      <c r="D12" s="8">
        <v>26.19</v>
      </c>
      <c r="E12" s="8">
        <f t="shared" si="0"/>
        <v>281.79000000000002</v>
      </c>
      <c r="F12" s="2" t="s">
        <v>7</v>
      </c>
    </row>
    <row r="13" spans="1:7" x14ac:dyDescent="0.25">
      <c r="A13" s="8">
        <v>2005</v>
      </c>
      <c r="B13" s="8">
        <v>152.93</v>
      </c>
      <c r="C13" s="8">
        <v>111.56</v>
      </c>
      <c r="D13" s="8">
        <v>27.7</v>
      </c>
      <c r="E13" s="8">
        <f t="shared" si="0"/>
        <v>292.19</v>
      </c>
      <c r="F13" s="2" t="s">
        <v>7</v>
      </c>
    </row>
    <row r="14" spans="1:7" x14ac:dyDescent="0.25">
      <c r="A14" s="8">
        <v>2006</v>
      </c>
      <c r="B14" s="8">
        <v>158.22999999999999</v>
      </c>
      <c r="C14" s="8">
        <v>115.13</v>
      </c>
      <c r="D14" s="8">
        <v>29.22</v>
      </c>
      <c r="E14" s="8">
        <f t="shared" si="0"/>
        <v>302.58000000000004</v>
      </c>
      <c r="F14" s="2" t="s">
        <v>7</v>
      </c>
    </row>
    <row r="15" spans="1:7" x14ac:dyDescent="0.25">
      <c r="A15" s="8">
        <v>2007</v>
      </c>
      <c r="B15" s="8">
        <v>163.54</v>
      </c>
      <c r="C15" s="8">
        <v>118.7</v>
      </c>
      <c r="D15" s="8">
        <v>30.74</v>
      </c>
      <c r="E15" s="8">
        <f t="shared" si="0"/>
        <v>312.98</v>
      </c>
      <c r="F15" s="2" t="s">
        <v>7</v>
      </c>
    </row>
    <row r="16" spans="1:7" x14ac:dyDescent="0.25">
      <c r="A16" s="10">
        <v>2008</v>
      </c>
      <c r="B16" s="8">
        <v>168.84</v>
      </c>
      <c r="C16" s="8">
        <v>122.27</v>
      </c>
      <c r="D16" s="8">
        <v>32.26</v>
      </c>
      <c r="E16" s="8">
        <f t="shared" si="0"/>
        <v>323.37</v>
      </c>
      <c r="F16" s="9" t="s">
        <v>6</v>
      </c>
    </row>
    <row r="17" spans="1:6" x14ac:dyDescent="0.25">
      <c r="A17" s="8">
        <v>2009</v>
      </c>
      <c r="B17" s="8">
        <v>171.33</v>
      </c>
      <c r="C17" s="8">
        <v>118.52</v>
      </c>
      <c r="D17" s="8">
        <v>44.34</v>
      </c>
      <c r="E17" s="8">
        <f t="shared" si="0"/>
        <v>334.19000000000005</v>
      </c>
      <c r="F17" s="2" t="s">
        <v>7</v>
      </c>
    </row>
    <row r="18" spans="1:6" x14ac:dyDescent="0.25">
      <c r="A18" s="8">
        <v>2010</v>
      </c>
      <c r="B18" s="8">
        <v>173.82</v>
      </c>
      <c r="C18" s="8">
        <v>114.78</v>
      </c>
      <c r="D18" s="8">
        <v>56.43</v>
      </c>
      <c r="E18" s="8">
        <f t="shared" si="0"/>
        <v>345.03000000000003</v>
      </c>
      <c r="F18" s="2" t="s">
        <v>7</v>
      </c>
    </row>
    <row r="19" spans="1:6" x14ac:dyDescent="0.25">
      <c r="A19" s="8">
        <v>2011</v>
      </c>
      <c r="B19" s="8">
        <v>176.32</v>
      </c>
      <c r="C19" s="8">
        <v>111.04</v>
      </c>
      <c r="D19" s="8">
        <v>68.510000000000005</v>
      </c>
      <c r="E19" s="8">
        <f t="shared" si="0"/>
        <v>355.87</v>
      </c>
      <c r="F19" s="2" t="s">
        <v>7</v>
      </c>
    </row>
    <row r="20" spans="1:6" x14ac:dyDescent="0.25">
      <c r="A20" s="10">
        <v>2012</v>
      </c>
      <c r="B20" s="8">
        <v>178.81</v>
      </c>
      <c r="C20" s="8">
        <v>107.29</v>
      </c>
      <c r="D20" s="8">
        <v>80.599999999999994</v>
      </c>
      <c r="E20" s="8">
        <f t="shared" si="0"/>
        <v>366.70000000000005</v>
      </c>
      <c r="F20" s="9" t="s">
        <v>6</v>
      </c>
    </row>
    <row r="21" spans="1:6" x14ac:dyDescent="0.25">
      <c r="A21" s="8">
        <v>2013</v>
      </c>
      <c r="B21" s="8">
        <v>184.16</v>
      </c>
      <c r="C21" s="8">
        <v>110.67</v>
      </c>
      <c r="D21" s="8">
        <v>82.46</v>
      </c>
      <c r="E21" s="8">
        <f t="shared" si="0"/>
        <v>377.28999999999996</v>
      </c>
      <c r="F21" s="2" t="s">
        <v>7</v>
      </c>
    </row>
    <row r="22" spans="1:6" x14ac:dyDescent="0.25">
      <c r="A22" s="8">
        <v>2014</v>
      </c>
      <c r="B22" s="8">
        <v>189.5</v>
      </c>
      <c r="C22" s="8">
        <v>114.05</v>
      </c>
      <c r="D22" s="8">
        <v>84.32</v>
      </c>
      <c r="E22" s="8">
        <f t="shared" si="0"/>
        <v>387.87</v>
      </c>
      <c r="F22" s="2" t="s">
        <v>7</v>
      </c>
    </row>
    <row r="23" spans="1:6" x14ac:dyDescent="0.25">
      <c r="A23" s="10">
        <v>2015</v>
      </c>
      <c r="B23" s="8">
        <v>194.85</v>
      </c>
      <c r="C23" s="8">
        <v>117.43</v>
      </c>
      <c r="D23" s="8">
        <v>86.18</v>
      </c>
      <c r="E23" s="8">
        <f t="shared" si="0"/>
        <v>398.46</v>
      </c>
      <c r="F23" s="9" t="s">
        <v>6</v>
      </c>
    </row>
    <row r="24" spans="1:6" x14ac:dyDescent="0.25">
      <c r="A24" s="8">
        <v>2016</v>
      </c>
      <c r="B24" s="8">
        <v>219.5</v>
      </c>
      <c r="C24" s="8">
        <v>123.58</v>
      </c>
      <c r="D24" s="8">
        <v>85.88</v>
      </c>
      <c r="E24" s="8">
        <f t="shared" si="0"/>
        <v>428.96</v>
      </c>
      <c r="F24" s="2" t="s">
        <v>7</v>
      </c>
    </row>
    <row r="25" spans="1:6" x14ac:dyDescent="0.25">
      <c r="A25" s="8">
        <v>2017</v>
      </c>
      <c r="B25" s="8">
        <v>244.16</v>
      </c>
      <c r="C25" s="8">
        <v>129.72999999999999</v>
      </c>
      <c r="D25" s="8">
        <v>85.57</v>
      </c>
      <c r="E25" s="8">
        <f t="shared" si="0"/>
        <v>459.46</v>
      </c>
      <c r="F25" s="2" t="s">
        <v>7</v>
      </c>
    </row>
    <row r="26" spans="1:6" x14ac:dyDescent="0.25">
      <c r="A26" s="10">
        <v>2018</v>
      </c>
      <c r="B26" s="8">
        <v>268.81</v>
      </c>
      <c r="C26" s="8">
        <v>135.88</v>
      </c>
      <c r="D26" s="8">
        <v>85.27</v>
      </c>
      <c r="E26" s="8">
        <f t="shared" si="0"/>
        <v>489.96</v>
      </c>
      <c r="F26" s="9" t="s">
        <v>6</v>
      </c>
    </row>
    <row r="27" spans="1:6" x14ac:dyDescent="0.25">
      <c r="A27" s="8">
        <v>2019</v>
      </c>
      <c r="B27" s="8">
        <v>270.29000000000002</v>
      </c>
      <c r="C27" s="8">
        <v>148.55000000000001</v>
      </c>
      <c r="D27" s="8">
        <v>81.62</v>
      </c>
      <c r="E27" s="8">
        <f t="shared" si="0"/>
        <v>500.46000000000004</v>
      </c>
      <c r="F27" s="2" t="s">
        <v>7</v>
      </c>
    </row>
    <row r="28" spans="1:6" x14ac:dyDescent="0.25">
      <c r="A28" s="8">
        <v>2020</v>
      </c>
      <c r="B28" s="8">
        <v>271.76</v>
      </c>
      <c r="C28" s="8">
        <v>161.22999999999999</v>
      </c>
      <c r="D28" s="8">
        <v>77.97</v>
      </c>
      <c r="E28" s="8">
        <f t="shared" si="0"/>
        <v>510.96000000000004</v>
      </c>
      <c r="F28" s="2" t="s">
        <v>7</v>
      </c>
    </row>
    <row r="29" spans="1:6" x14ac:dyDescent="0.25">
      <c r="A29" s="10">
        <v>2021</v>
      </c>
      <c r="B29" s="8">
        <v>273.24</v>
      </c>
      <c r="C29" s="8">
        <v>173.9</v>
      </c>
      <c r="D29" s="8">
        <v>74.319999999999993</v>
      </c>
      <c r="E29" s="8">
        <f t="shared" si="0"/>
        <v>521.46</v>
      </c>
      <c r="F29" s="9" t="s">
        <v>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3" sqref="B3"/>
    </sheetView>
  </sheetViews>
  <sheetFormatPr defaultRowHeight="15" x14ac:dyDescent="0.25"/>
  <cols>
    <col min="1" max="1" width="26.85546875" customWidth="1"/>
    <col min="2" max="2" width="105.5703125" customWidth="1"/>
  </cols>
  <sheetData>
    <row r="1" spans="1:2" x14ac:dyDescent="0.25">
      <c r="A1" s="1" t="s">
        <v>8</v>
      </c>
      <c r="B1" s="1" t="s">
        <v>9</v>
      </c>
    </row>
    <row r="2" spans="1:2" x14ac:dyDescent="0.25">
      <c r="A2" t="s">
        <v>10</v>
      </c>
      <c r="B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GHG_1994_2021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Aziz</cp:lastModifiedBy>
  <dcterms:created xsi:type="dcterms:W3CDTF">2026-09-09T06:59:44Z</dcterms:created>
  <dcterms:modified xsi:type="dcterms:W3CDTF">2026-09-09T08:58:06Z</dcterms:modified>
</cp:coreProperties>
</file>