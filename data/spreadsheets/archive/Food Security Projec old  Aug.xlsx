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1605junaid\Desktop\"/>
    </mc:Choice>
  </mc:AlternateContent>
  <xr:revisionPtr revIDLastSave="0" documentId="13_ncr:1_{F6790508-BBD0-463B-BBE1-32E6D37469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Basin Data " sheetId="3" r:id="rId3"/>
    <sheet name="Projection upto 207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4" l="1"/>
  <c r="T11" i="2" l="1"/>
  <c r="F25" i="2"/>
  <c r="L8" i="3"/>
  <c r="L9" i="3"/>
  <c r="J8" i="3"/>
  <c r="J9" i="3"/>
  <c r="L7" i="3"/>
  <c r="N7" i="3"/>
  <c r="P7" i="3"/>
  <c r="R7" i="3"/>
  <c r="T7" i="3"/>
  <c r="T8" i="3" s="1"/>
  <c r="T9" i="3" s="1"/>
  <c r="V7" i="3"/>
  <c r="V8" i="3" s="1"/>
  <c r="V9" i="3" s="1"/>
  <c r="X7" i="3"/>
  <c r="X8" i="3" s="1"/>
  <c r="X9" i="3" s="1"/>
  <c r="Z7" i="3"/>
  <c r="Z8" i="3" s="1"/>
  <c r="Z9" i="3" s="1"/>
  <c r="AB7" i="3"/>
  <c r="AB8" i="3" s="1"/>
  <c r="AB9" i="3" s="1"/>
  <c r="N8" i="3"/>
  <c r="N9" i="3" s="1"/>
  <c r="P8" i="3"/>
  <c r="P9" i="3" s="1"/>
  <c r="R8" i="3"/>
  <c r="R9" i="3" s="1"/>
  <c r="K5" i="4"/>
  <c r="J5" i="4"/>
  <c r="N5" i="4"/>
  <c r="M5" i="4"/>
  <c r="H5" i="4"/>
  <c r="I5" i="4"/>
  <c r="L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G5" i="4"/>
  <c r="J7" i="3"/>
  <c r="H7" i="3"/>
  <c r="H8" i="3" s="1"/>
  <c r="H9" i="3" s="1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E30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E29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E28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E27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E26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E25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E13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U11" i="2"/>
  <c r="V11" i="2"/>
  <c r="W11" i="2"/>
  <c r="X11" i="2"/>
  <c r="Y11" i="2"/>
  <c r="Z11" i="2"/>
  <c r="E11" i="2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S14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S13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S12" i="1"/>
  <c r="G29" i="1"/>
  <c r="H29" i="1"/>
  <c r="I29" i="1"/>
  <c r="J29" i="1"/>
  <c r="F29" i="1"/>
  <c r="G26" i="1"/>
  <c r="H26" i="1"/>
  <c r="I26" i="1"/>
  <c r="J26" i="1"/>
  <c r="F26" i="1"/>
  <c r="J21" i="1"/>
  <c r="I21" i="1"/>
  <c r="H21" i="1"/>
  <c r="G21" i="1"/>
  <c r="F21" i="1"/>
  <c r="J15" i="1"/>
  <c r="I15" i="1"/>
  <c r="H15" i="1"/>
  <c r="G15" i="1"/>
  <c r="F15" i="1"/>
  <c r="J9" i="1"/>
  <c r="I9" i="1"/>
  <c r="H9" i="1"/>
  <c r="G9" i="1"/>
  <c r="F9" i="1"/>
</calcChain>
</file>

<file path=xl/sharedStrings.xml><?xml version="1.0" encoding="utf-8"?>
<sst xmlns="http://schemas.openxmlformats.org/spreadsheetml/2006/main" count="68" uniqueCount="38">
  <si>
    <t>others</t>
  </si>
  <si>
    <t>Demand</t>
  </si>
  <si>
    <t>cash</t>
  </si>
  <si>
    <t>food</t>
  </si>
  <si>
    <t>sum</t>
  </si>
  <si>
    <t>Avl</t>
  </si>
  <si>
    <t>Avl wS</t>
  </si>
  <si>
    <t>Sum</t>
  </si>
  <si>
    <t>% shortage b/w demand and avl</t>
  </si>
  <si>
    <t>Year</t>
  </si>
  <si>
    <t>Food Demand</t>
  </si>
  <si>
    <t>Need</t>
  </si>
  <si>
    <t>Pop</t>
  </si>
  <si>
    <t>Avl Food</t>
  </si>
  <si>
    <t>Avl Cash</t>
  </si>
  <si>
    <t>Others</t>
  </si>
  <si>
    <t>Food Availability</t>
  </si>
  <si>
    <t>With best practices</t>
  </si>
  <si>
    <t>water shortahe</t>
  </si>
  <si>
    <t>high temop</t>
  </si>
  <si>
    <t>low quality seed</t>
  </si>
  <si>
    <t>soil salinity</t>
  </si>
  <si>
    <t>Loss</t>
  </si>
  <si>
    <t>due to population</t>
  </si>
  <si>
    <t>W.S</t>
  </si>
  <si>
    <t>H.T</t>
  </si>
  <si>
    <t>L.Q.S</t>
  </si>
  <si>
    <t>S.S</t>
  </si>
  <si>
    <t>L.D</t>
  </si>
  <si>
    <t>Floods</t>
  </si>
  <si>
    <t xml:space="preserve">Million Acre </t>
  </si>
  <si>
    <t xml:space="preserve">Water Maf from Basin </t>
  </si>
  <si>
    <t xml:space="preserve">Population </t>
  </si>
  <si>
    <t>Food Security Projection upto 2070</t>
  </si>
  <si>
    <t xml:space="preserve">Total Basin </t>
  </si>
  <si>
    <t>Acre land Increase</t>
  </si>
  <si>
    <t>if these basins are created so it will add more water in MAF and as well as will increse the agri land in million acre.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</si>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</sst>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4" borderId="2" xfId="0" applyFill="1" applyBorder="1"/>
    <xf numFmtId="0" fontId="0" fillId="0" borderId="0" xfId="0"/>
    <xf numFmtId="0" fontId="0" fillId="0" borderId="0" xfId="0"/>
    <xf numFmtId="10" fontId="2" fillId="5" borderId="1" xfId="0" applyNumberFormat="1" applyFont="1" applyFill="1" applyBorder="1"/>
    <xf numFmtId="0" fontId="0" fillId="0" borderId="0" xfId="0" applyFont="1" applyAlignment="1">
      <alignment horizontal="right" vertical="center" wrapText="1"/>
    </xf>
    <xf numFmtId="0" fontId="0" fillId="3" borderId="0" xfId="0" applyFill="1" applyBorder="1"/>
    <xf numFmtId="0" fontId="0" fillId="6" borderId="1" xfId="0" applyFill="1" applyBorder="1"/>
    <xf numFmtId="164" fontId="0" fillId="0" borderId="0" xfId="0" applyNumberFormat="1"/>
    <xf numFmtId="0" fontId="0" fillId="0" borderId="0" xfId="0" applyFill="1" applyAlignment="1">
      <alignment horizontal="right" vertical="center" wrapText="1"/>
    </xf>
    <xf numFmtId="0" fontId="0" fillId="0" borderId="0" xfId="0" applyFont="1" applyFill="1" applyAlignment="1">
      <alignment horizontal="right" vertical="center" wrapText="1"/>
    </xf>
    <xf numFmtId="0" fontId="1" fillId="2" borderId="0" xfId="0" applyFont="1" applyFill="1" applyBorder="1"/>
    <xf numFmtId="0" fontId="1" fillId="2" borderId="3" xfId="0" applyFont="1" applyFill="1" applyBorder="1"/>
    <xf numFmtId="0" fontId="1" fillId="8" borderId="1" xfId="0" applyFont="1" applyFill="1" applyBorder="1"/>
    <xf numFmtId="1" fontId="1" fillId="10" borderId="0" xfId="0" applyNumberFormat="1" applyFont="1" applyFill="1" applyAlignment="1">
      <alignment horizontal="right" vertical="center" wrapText="1"/>
    </xf>
    <xf numFmtId="0" fontId="1" fillId="10" borderId="0" xfId="0" applyFont="1" applyFill="1"/>
    <xf numFmtId="0" fontId="1" fillId="10" borderId="0" xfId="0" applyFont="1" applyFill="1" applyAlignment="1">
      <alignment horizontal="right" vertical="center" wrapText="1"/>
    </xf>
    <xf numFmtId="0" fontId="1" fillId="4" borderId="2" xfId="0" applyFont="1" applyFill="1" applyBorder="1"/>
    <xf numFmtId="0" fontId="0" fillId="10" borderId="1" xfId="0" applyFill="1" applyBorder="1"/>
    <xf numFmtId="0" fontId="0" fillId="11" borderId="1" xfId="0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0" fillId="12" borderId="1" xfId="0" applyFill="1" applyBorder="1" applyAlignment="1">
      <alignment horizontal="right" vertical="center" wrapText="1"/>
    </xf>
    <xf numFmtId="0" fontId="0" fillId="12" borderId="1" xfId="0" applyFont="1" applyFill="1" applyBorder="1" applyAlignment="1">
      <alignment horizontal="right" vertical="center" wrapText="1"/>
    </xf>
    <xf numFmtId="0" fontId="0" fillId="8" borderId="1" xfId="0" applyFill="1" applyBorder="1"/>
    <xf numFmtId="0" fontId="0" fillId="8" borderId="1" xfId="0" applyFont="1" applyFill="1" applyBorder="1" applyAlignment="1">
      <alignment horizontal="right" vertical="center" wrapText="1"/>
    </xf>
    <xf numFmtId="0" fontId="0" fillId="6" borderId="1" xfId="0" applyFont="1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 vertical="center" wrapText="1"/>
    </xf>
    <xf numFmtId="0" fontId="1" fillId="7" borderId="1" xfId="0" applyFont="1" applyFill="1" applyBorder="1"/>
    <xf numFmtId="0" fontId="0" fillId="0" borderId="4" xfId="0" applyBorder="1"/>
    <xf numFmtId="0" fontId="1" fillId="10" borderId="1" xfId="0" applyFont="1" applyFill="1" applyBorder="1"/>
    <xf numFmtId="2" fontId="0" fillId="0" borderId="1" xfId="0" applyNumberFormat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6" borderId="1" xfId="0" applyFont="1" applyFill="1" applyBorder="1"/>
    <xf numFmtId="0" fontId="1" fillId="11" borderId="1" xfId="0" applyFont="1" applyFill="1" applyBorder="1"/>
    <xf numFmtId="0" fontId="1" fillId="14" borderId="1" xfId="0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Projection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'Projection upto 2070'!$E$6</c:f>
              <c:strCache>
                <c:ptCount val="1"/>
                <c:pt idx="0">
                  <c:v>Need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'Projection upto 2070'!$F$6:$AB$6</c:f>
              <c:numCache>
                <c:formatCode>General</c:formatCode>
                <c:ptCount val="23"/>
                <c:pt idx="0">
                  <c:v>174</c:v>
                </c:pt>
                <c:pt idx="1">
                  <c:v>179</c:v>
                </c:pt>
                <c:pt idx="2">
                  <c:v>184</c:v>
                </c:pt>
                <c:pt idx="3">
                  <c:v>189</c:v>
                </c:pt>
                <c:pt idx="4">
                  <c:v>194</c:v>
                </c:pt>
                <c:pt idx="5">
                  <c:v>199</c:v>
                </c:pt>
                <c:pt idx="6">
                  <c:v>205</c:v>
                </c:pt>
                <c:pt idx="7">
                  <c:v>209</c:v>
                </c:pt>
                <c:pt idx="8">
                  <c:v>214</c:v>
                </c:pt>
                <c:pt idx="9">
                  <c:v>219</c:v>
                </c:pt>
                <c:pt idx="10">
                  <c:v>224</c:v>
                </c:pt>
                <c:pt idx="11">
                  <c:v>229</c:v>
                </c:pt>
                <c:pt idx="12">
                  <c:v>234</c:v>
                </c:pt>
                <c:pt idx="13">
                  <c:v>239</c:v>
                </c:pt>
                <c:pt idx="14">
                  <c:v>244</c:v>
                </c:pt>
                <c:pt idx="15">
                  <c:v>249</c:v>
                </c:pt>
                <c:pt idx="16">
                  <c:v>254</c:v>
                </c:pt>
                <c:pt idx="17">
                  <c:v>259</c:v>
                </c:pt>
                <c:pt idx="18">
                  <c:v>264</c:v>
                </c:pt>
                <c:pt idx="19">
                  <c:v>269</c:v>
                </c:pt>
                <c:pt idx="20">
                  <c:v>274</c:v>
                </c:pt>
                <c:pt idx="21">
                  <c:v>279</c:v>
                </c:pt>
                <c:pt idx="22">
                  <c:v>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CB-4173-A263-3EB572AD27D2}"/>
            </c:ext>
          </c:extLst>
        </c:ser>
        <c:ser>
          <c:idx val="1"/>
          <c:order val="1"/>
          <c:tx>
            <c:strRef>
              <c:f>'Projection upto 2070'!$E$7</c:f>
              <c:strCache>
                <c:ptCount val="1"/>
                <c:pt idx="0">
                  <c:v>Avl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'Projection upto 2070'!$F$7:$AB$7</c:f>
              <c:numCache>
                <c:formatCode>General</c:formatCode>
                <c:ptCount val="23"/>
                <c:pt idx="0">
                  <c:v>68</c:v>
                </c:pt>
                <c:pt idx="1">
                  <c:v>68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  <c:pt idx="5">
                  <c:v>66</c:v>
                </c:pt>
                <c:pt idx="6">
                  <c:v>66</c:v>
                </c:pt>
                <c:pt idx="7">
                  <c:v>66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63</c:v>
                </c:pt>
                <c:pt idx="15">
                  <c:v>63</c:v>
                </c:pt>
                <c:pt idx="16">
                  <c:v>63</c:v>
                </c:pt>
                <c:pt idx="17">
                  <c:v>62</c:v>
                </c:pt>
                <c:pt idx="18">
                  <c:v>62</c:v>
                </c:pt>
                <c:pt idx="19">
                  <c:v>62</c:v>
                </c:pt>
                <c:pt idx="20">
                  <c:v>61</c:v>
                </c:pt>
                <c:pt idx="21">
                  <c:v>61</c:v>
                </c:pt>
                <c:pt idx="22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CB-4173-A263-3EB572AD2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513775"/>
        <c:axId val="692512527"/>
      </c:lineChart>
      <c:catAx>
        <c:axId val="692513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92512527"/>
        <c:crosses val="autoZero"/>
        <c:auto val="1"/>
        <c:lblAlgn val="ctr"/>
        <c:lblOffset val="100"/>
        <c:noMultiLvlLbl val="0"/>
      </c:catAx>
      <c:valAx>
        <c:axId val="6925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9251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Projections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'Projection upto 2070'!$E$5</c:f>
              <c:strCache>
                <c:ptCount val="1"/>
                <c:pt idx="0">
                  <c:v>Population 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'Projection upto 2070'!$F$5:$AB$5</c:f>
              <c:numCache>
                <c:formatCode>General</c:formatCode>
                <c:ptCount val="23"/>
                <c:pt idx="0">
                  <c:v>394</c:v>
                </c:pt>
                <c:pt idx="1">
                  <c:v>402</c:v>
                </c:pt>
                <c:pt idx="2">
                  <c:v>410</c:v>
                </c:pt>
                <c:pt idx="3">
                  <c:v>418</c:v>
                </c:pt>
                <c:pt idx="4">
                  <c:v>426</c:v>
                </c:pt>
                <c:pt idx="5">
                  <c:v>434</c:v>
                </c:pt>
                <c:pt idx="6">
                  <c:v>442</c:v>
                </c:pt>
                <c:pt idx="7">
                  <c:v>450</c:v>
                </c:pt>
                <c:pt idx="8">
                  <c:v>458</c:v>
                </c:pt>
                <c:pt idx="9">
                  <c:v>466</c:v>
                </c:pt>
                <c:pt idx="10">
                  <c:v>474</c:v>
                </c:pt>
                <c:pt idx="11">
                  <c:v>482</c:v>
                </c:pt>
                <c:pt idx="12">
                  <c:v>490</c:v>
                </c:pt>
                <c:pt idx="13">
                  <c:v>498</c:v>
                </c:pt>
                <c:pt idx="14">
                  <c:v>506</c:v>
                </c:pt>
                <c:pt idx="15">
                  <c:v>514</c:v>
                </c:pt>
                <c:pt idx="16">
                  <c:v>522</c:v>
                </c:pt>
                <c:pt idx="17">
                  <c:v>530</c:v>
                </c:pt>
                <c:pt idx="18">
                  <c:v>538</c:v>
                </c:pt>
                <c:pt idx="19">
                  <c:v>546</c:v>
                </c:pt>
                <c:pt idx="20">
                  <c:v>554</c:v>
                </c:pt>
                <c:pt idx="21">
                  <c:v>562</c:v>
                </c:pt>
                <c:pt idx="22">
                  <c:v>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8-4C92-B4D9-7B149D11E576}"/>
            </c:ext>
          </c:extLst>
        </c:ser>
        <c:ser>
          <c:idx val="1"/>
          <c:order val="1"/>
          <c:tx>
            <c:strRef>
              <c:f>'Projection upto 2070'!$E$6</c:f>
              <c:strCache>
                <c:ptCount val="1"/>
                <c:pt idx="0">
                  <c:v>Need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'Projection upto 2070'!$F$6:$AB$6</c:f>
              <c:numCache>
                <c:formatCode>General</c:formatCode>
                <c:ptCount val="23"/>
                <c:pt idx="0">
                  <c:v>174</c:v>
                </c:pt>
                <c:pt idx="1">
                  <c:v>179</c:v>
                </c:pt>
                <c:pt idx="2">
                  <c:v>184</c:v>
                </c:pt>
                <c:pt idx="3">
                  <c:v>189</c:v>
                </c:pt>
                <c:pt idx="4">
                  <c:v>194</c:v>
                </c:pt>
                <c:pt idx="5">
                  <c:v>199</c:v>
                </c:pt>
                <c:pt idx="6">
                  <c:v>205</c:v>
                </c:pt>
                <c:pt idx="7">
                  <c:v>209</c:v>
                </c:pt>
                <c:pt idx="8">
                  <c:v>214</c:v>
                </c:pt>
                <c:pt idx="9">
                  <c:v>219</c:v>
                </c:pt>
                <c:pt idx="10">
                  <c:v>224</c:v>
                </c:pt>
                <c:pt idx="11">
                  <c:v>229</c:v>
                </c:pt>
                <c:pt idx="12">
                  <c:v>234</c:v>
                </c:pt>
                <c:pt idx="13">
                  <c:v>239</c:v>
                </c:pt>
                <c:pt idx="14">
                  <c:v>244</c:v>
                </c:pt>
                <c:pt idx="15">
                  <c:v>249</c:v>
                </c:pt>
                <c:pt idx="16">
                  <c:v>254</c:v>
                </c:pt>
                <c:pt idx="17">
                  <c:v>259</c:v>
                </c:pt>
                <c:pt idx="18">
                  <c:v>264</c:v>
                </c:pt>
                <c:pt idx="19">
                  <c:v>269</c:v>
                </c:pt>
                <c:pt idx="20">
                  <c:v>274</c:v>
                </c:pt>
                <c:pt idx="21">
                  <c:v>279</c:v>
                </c:pt>
                <c:pt idx="22">
                  <c:v>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48-4C92-B4D9-7B149D11E576}"/>
            </c:ext>
          </c:extLst>
        </c:ser>
        <c:ser>
          <c:idx val="2"/>
          <c:order val="2"/>
          <c:tx>
            <c:strRef>
              <c:f>'Projection upto 2070'!$E$7</c:f>
              <c:strCache>
                <c:ptCount val="1"/>
                <c:pt idx="0">
                  <c:v>Avl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'Projection upto 2070'!$F$7:$AB$7</c:f>
              <c:numCache>
                <c:formatCode>General</c:formatCode>
                <c:ptCount val="23"/>
                <c:pt idx="0">
                  <c:v>68</c:v>
                </c:pt>
                <c:pt idx="1">
                  <c:v>68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  <c:pt idx="5">
                  <c:v>66</c:v>
                </c:pt>
                <c:pt idx="6">
                  <c:v>66</c:v>
                </c:pt>
                <c:pt idx="7">
                  <c:v>66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64</c:v>
                </c:pt>
                <c:pt idx="12">
                  <c:v>64</c:v>
                </c:pt>
                <c:pt idx="13">
                  <c:v>64</c:v>
                </c:pt>
                <c:pt idx="14">
                  <c:v>63</c:v>
                </c:pt>
                <c:pt idx="15">
                  <c:v>63</c:v>
                </c:pt>
                <c:pt idx="16">
                  <c:v>63</c:v>
                </c:pt>
                <c:pt idx="17">
                  <c:v>62</c:v>
                </c:pt>
                <c:pt idx="18">
                  <c:v>62</c:v>
                </c:pt>
                <c:pt idx="19">
                  <c:v>62</c:v>
                </c:pt>
                <c:pt idx="20">
                  <c:v>61</c:v>
                </c:pt>
                <c:pt idx="21">
                  <c:v>61</c:v>
                </c:pt>
                <c:pt idx="22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48-4C92-B4D9-7B149D11E5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2511695"/>
        <c:axId val="692512943"/>
      </c:lineChart>
      <c:catAx>
        <c:axId val="6925116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92512943"/>
        <c:crosses val="autoZero"/>
        <c:auto val="1"/>
        <c:lblAlgn val="ctr"/>
        <c:lblOffset val="100"/>
        <c:noMultiLvlLbl val="0"/>
      </c:catAx>
      <c:valAx>
        <c:axId val="69251294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9251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17</xdr:row>
      <xdr:rowOff>133350</xdr:rowOff>
    </xdr:from>
    <xdr:to>
      <xdr:col>13</xdr:col>
      <xdr:colOff>57150</xdr:colOff>
      <xdr:row>43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BE37B2-0F3D-47D5-A548-85FE6F13D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485775</xdr:colOff>
      <xdr:row>17</xdr:row>
      <xdr:rowOff>166687</xdr:rowOff>
    </xdr:from>
    <xdr:to>
      <xdr:col>26</xdr:col>
      <xdr:colOff>219075</xdr:colOff>
      <xdr:row>43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D608B2-B951-4BBC-B9DA-DDEF7F448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AX54"/>
  <sheetViews>
    <sheetView tabSelected="1" topLeftCell="L1" workbookViewId="0">
      <selection activeCell="AE23" sqref="AE23"/>
    </sheetView>
  </sheetViews>
  <sheetFormatPr defaultRowHeight="15" x14ac:dyDescent="0.25"/>
  <sheetData>
    <row r="4" spans="4:40" x14ac:dyDescent="0.25">
      <c r="D4" s="1"/>
      <c r="E4" s="1"/>
      <c r="F4" s="1"/>
      <c r="G4" s="1"/>
      <c r="H4" s="1"/>
      <c r="I4" s="1"/>
      <c r="J4" s="1"/>
    </row>
    <row r="5" spans="4:40" x14ac:dyDescent="0.25">
      <c r="D5" s="1"/>
      <c r="E5" s="1"/>
      <c r="F5" s="2">
        <v>2026</v>
      </c>
      <c r="G5" s="2">
        <v>2027</v>
      </c>
      <c r="H5" s="2">
        <v>2028</v>
      </c>
      <c r="I5" s="2">
        <v>2029</v>
      </c>
      <c r="J5" s="2">
        <v>2030</v>
      </c>
      <c r="N5" s="2">
        <v>2026</v>
      </c>
      <c r="O5" s="2">
        <v>2027</v>
      </c>
      <c r="P5" s="2">
        <v>2028</v>
      </c>
      <c r="Q5" s="2">
        <v>2029</v>
      </c>
      <c r="R5" s="2">
        <v>2030</v>
      </c>
      <c r="S5" s="2">
        <v>2031</v>
      </c>
      <c r="T5" s="2">
        <v>2032</v>
      </c>
      <c r="U5" s="2">
        <v>2033</v>
      </c>
      <c r="V5" s="2">
        <v>2034</v>
      </c>
      <c r="W5" s="2">
        <v>2035</v>
      </c>
      <c r="X5" s="2">
        <v>2036</v>
      </c>
      <c r="Y5" s="2">
        <v>2037</v>
      </c>
      <c r="Z5" s="2">
        <v>2038</v>
      </c>
      <c r="AA5" s="2">
        <v>2039</v>
      </c>
      <c r="AB5" s="2">
        <v>2040</v>
      </c>
      <c r="AC5" s="2">
        <v>2041</v>
      </c>
      <c r="AD5" s="2">
        <v>2042</v>
      </c>
      <c r="AE5" s="2">
        <v>2043</v>
      </c>
      <c r="AF5" s="2">
        <v>2044</v>
      </c>
      <c r="AG5" s="2">
        <v>2045</v>
      </c>
      <c r="AH5" s="2">
        <v>2046</v>
      </c>
      <c r="AI5" s="2">
        <v>2047</v>
      </c>
      <c r="AJ5" s="2"/>
      <c r="AK5" s="2"/>
      <c r="AL5" s="2"/>
      <c r="AM5" s="2"/>
      <c r="AN5" s="2"/>
    </row>
    <row r="6" spans="4:40" x14ac:dyDescent="0.25">
      <c r="D6" s="3" t="s">
        <v>0</v>
      </c>
      <c r="E6" s="1" t="s">
        <v>1</v>
      </c>
      <c r="F6" s="1">
        <v>4.5100499999999997</v>
      </c>
      <c r="G6" s="1">
        <v>4.6129199999999999</v>
      </c>
      <c r="H6" s="1">
        <v>4.7072242399999995</v>
      </c>
      <c r="I6" s="1">
        <v>4.8129431732799999</v>
      </c>
      <c r="J6" s="1">
        <v>4.9201079230859994</v>
      </c>
      <c r="M6" t="s">
        <v>11</v>
      </c>
      <c r="N6">
        <v>92.790049999999994</v>
      </c>
      <c r="O6">
        <v>95.852919999999997</v>
      </c>
      <c r="P6">
        <v>98.557224239999996</v>
      </c>
      <c r="Q6">
        <v>101.23294317328001</v>
      </c>
      <c r="R6">
        <v>103.980107923086</v>
      </c>
      <c r="S6" s="15">
        <v>106.9824</v>
      </c>
      <c r="T6" s="15">
        <v>110.0714</v>
      </c>
      <c r="U6" s="15">
        <v>113.2496</v>
      </c>
      <c r="V6" s="15">
        <v>116.5196</v>
      </c>
      <c r="W6" s="15">
        <v>119.884</v>
      </c>
      <c r="X6" s="15">
        <v>123.3455</v>
      </c>
      <c r="Y6" s="15">
        <v>126.907</v>
      </c>
      <c r="Z6" s="15">
        <v>130.57130000000001</v>
      </c>
      <c r="AA6" s="15">
        <v>134.3415</v>
      </c>
      <c r="AB6" s="15">
        <v>138.22040000000001</v>
      </c>
      <c r="AC6" s="15">
        <v>142.2114</v>
      </c>
      <c r="AD6" s="15">
        <v>146.3176</v>
      </c>
      <c r="AE6" s="15">
        <v>150.54239999999999</v>
      </c>
      <c r="AF6" s="15">
        <v>154.88919999999999</v>
      </c>
      <c r="AG6" s="15">
        <v>159.36150000000001</v>
      </c>
      <c r="AH6" s="15">
        <v>163.96289999999999</v>
      </c>
      <c r="AI6" s="15">
        <v>168.69710000000001</v>
      </c>
    </row>
    <row r="7" spans="4:40" x14ac:dyDescent="0.25">
      <c r="D7" s="3" t="s">
        <v>2</v>
      </c>
      <c r="E7" s="1" t="s">
        <v>1</v>
      </c>
      <c r="F7" s="1">
        <v>11.05</v>
      </c>
      <c r="G7" s="1">
        <v>11.379999999999999</v>
      </c>
      <c r="H7" s="1">
        <v>11.72</v>
      </c>
      <c r="I7" s="1">
        <v>12.059999999999999</v>
      </c>
      <c r="J7" s="1">
        <v>12.41</v>
      </c>
      <c r="M7" t="s">
        <v>5</v>
      </c>
      <c r="N7" s="5">
        <v>82.855000000000004</v>
      </c>
      <c r="O7" s="5">
        <v>79.806600000000003</v>
      </c>
      <c r="P7" s="5">
        <v>78.18419999999999</v>
      </c>
      <c r="Q7" s="5">
        <v>76.371799999999993</v>
      </c>
      <c r="R7" s="5">
        <v>74.439400000000006</v>
      </c>
      <c r="S7" s="11">
        <v>74.349999999999994</v>
      </c>
      <c r="T7" s="11">
        <v>74.099999999999994</v>
      </c>
      <c r="U7" s="11">
        <v>73.88</v>
      </c>
      <c r="V7" s="11">
        <v>73.650000000000006</v>
      </c>
      <c r="W7" s="11">
        <v>72.58</v>
      </c>
      <c r="X7" s="11">
        <v>72.2</v>
      </c>
      <c r="Y7" s="11">
        <v>71.819999999999993</v>
      </c>
      <c r="Z7" s="11">
        <v>71.53</v>
      </c>
      <c r="AA7" s="11">
        <v>71.11</v>
      </c>
      <c r="AB7" s="11">
        <v>70.91</v>
      </c>
      <c r="AC7" s="11">
        <v>70.52</v>
      </c>
      <c r="AD7" s="11">
        <v>70.209999999999994</v>
      </c>
      <c r="AE7" s="11">
        <v>69.98</v>
      </c>
      <c r="AF7" s="11">
        <v>69.5</v>
      </c>
      <c r="AG7" s="11">
        <v>69.13</v>
      </c>
      <c r="AH7" s="11">
        <v>68.95</v>
      </c>
      <c r="AI7" s="11">
        <v>68.2</v>
      </c>
    </row>
    <row r="8" spans="4:40" x14ac:dyDescent="0.25">
      <c r="D8" s="3" t="s">
        <v>3</v>
      </c>
      <c r="E8" s="1" t="s">
        <v>1</v>
      </c>
      <c r="F8" s="1">
        <v>77.23</v>
      </c>
      <c r="G8" s="1">
        <v>79.86</v>
      </c>
      <c r="H8" s="1">
        <v>82.13</v>
      </c>
      <c r="I8" s="1">
        <v>84.36</v>
      </c>
      <c r="J8" s="1">
        <v>86.649999999999991</v>
      </c>
      <c r="M8" t="s">
        <v>17</v>
      </c>
      <c r="N8" s="7">
        <v>82.855000000000004</v>
      </c>
      <c r="O8" s="7">
        <v>83.269300000000001</v>
      </c>
      <c r="P8" s="7">
        <v>83.685599999999994</v>
      </c>
      <c r="Q8" s="7">
        <v>84.103999999999999</v>
      </c>
      <c r="R8" s="7">
        <v>84.524600000000007</v>
      </c>
      <c r="S8" s="7">
        <v>84.947199999999995</v>
      </c>
      <c r="T8" s="7">
        <v>85.371899999999997</v>
      </c>
      <c r="U8" s="7">
        <v>85.7988</v>
      </c>
      <c r="V8" s="7">
        <v>86.227800000000002</v>
      </c>
      <c r="W8" s="7">
        <v>86.658900000000003</v>
      </c>
      <c r="X8" s="7">
        <v>87.092200000000005</v>
      </c>
      <c r="Y8" s="7">
        <v>87.527699999999996</v>
      </c>
      <c r="Z8" s="7">
        <v>87.965299999999999</v>
      </c>
      <c r="AA8" s="7">
        <v>88.405100000000004</v>
      </c>
      <c r="AB8" s="7">
        <v>88.847200000000001</v>
      </c>
      <c r="AC8" s="7">
        <v>89.291399999999996</v>
      </c>
      <c r="AD8" s="7">
        <v>89.737899999999996</v>
      </c>
      <c r="AE8" s="7">
        <v>90.186499999999995</v>
      </c>
      <c r="AF8" s="7">
        <v>90.637500000000003</v>
      </c>
      <c r="AG8" s="7">
        <v>91.090699999999998</v>
      </c>
      <c r="AH8" s="7">
        <v>91.546099999999996</v>
      </c>
      <c r="AI8" s="15">
        <v>92.003900000000002</v>
      </c>
    </row>
    <row r="9" spans="4:40" x14ac:dyDescent="0.25">
      <c r="D9" s="3"/>
      <c r="E9" s="4" t="s">
        <v>4</v>
      </c>
      <c r="F9" s="5">
        <f>SUM(F6:F8)</f>
        <v>92.790050000000008</v>
      </c>
      <c r="G9" s="5">
        <f>SUM(G6:G8)</f>
        <v>95.852919999999997</v>
      </c>
      <c r="H9" s="5">
        <f>SUM(H6:H8)</f>
        <v>98.557224239999996</v>
      </c>
      <c r="I9" s="5">
        <f>SUM(I6:I8)</f>
        <v>101.23294317328001</v>
      </c>
      <c r="J9" s="5">
        <f>SUM(J6:J8)</f>
        <v>103.980107923086</v>
      </c>
      <c r="M9" t="s">
        <v>12</v>
      </c>
      <c r="N9" s="15">
        <v>254.71</v>
      </c>
      <c r="O9" s="7">
        <v>259.8</v>
      </c>
      <c r="P9" s="7">
        <v>265</v>
      </c>
      <c r="Q9" s="7">
        <v>270.3</v>
      </c>
      <c r="R9" s="7">
        <v>275.70999999999998</v>
      </c>
      <c r="S9" s="7">
        <v>281.22000000000003</v>
      </c>
      <c r="T9" s="7">
        <v>286.83999999999997</v>
      </c>
      <c r="U9" s="7">
        <v>292.58</v>
      </c>
      <c r="V9" s="7">
        <v>298.43</v>
      </c>
      <c r="W9" s="7">
        <v>304.39999999999998</v>
      </c>
      <c r="X9" s="7">
        <v>310.49</v>
      </c>
      <c r="Y9" s="7">
        <v>316.7</v>
      </c>
      <c r="Z9" s="7">
        <v>323.02999999999997</v>
      </c>
      <c r="AA9" s="7">
        <v>329.49</v>
      </c>
      <c r="AB9" s="7">
        <v>336.08</v>
      </c>
      <c r="AC9" s="7">
        <v>342.81</v>
      </c>
      <c r="AD9" s="7">
        <v>349.66</v>
      </c>
      <c r="AE9" s="7">
        <v>356.66</v>
      </c>
      <c r="AF9" s="7">
        <v>363.79</v>
      </c>
      <c r="AG9" s="7">
        <v>371.06</v>
      </c>
      <c r="AH9" s="7">
        <v>378.49</v>
      </c>
      <c r="AI9" s="15">
        <v>386.06</v>
      </c>
    </row>
    <row r="10" spans="4:40" x14ac:dyDescent="0.25">
      <c r="D10" s="3"/>
      <c r="E10" s="1"/>
      <c r="F10" s="1"/>
      <c r="G10" s="1"/>
      <c r="H10" s="1"/>
      <c r="I10" s="1"/>
      <c r="J10" s="1"/>
    </row>
    <row r="11" spans="4:40" x14ac:dyDescent="0.25">
      <c r="D11" s="3"/>
      <c r="E11" s="1"/>
      <c r="F11" s="1"/>
      <c r="G11" s="1"/>
      <c r="H11" s="1"/>
      <c r="I11" s="1"/>
      <c r="J11" s="1"/>
    </row>
    <row r="12" spans="4:40" x14ac:dyDescent="0.25">
      <c r="D12" s="3" t="s">
        <v>0</v>
      </c>
      <c r="E12" s="1" t="s">
        <v>5</v>
      </c>
      <c r="F12" s="1">
        <v>1.2789999999999999</v>
      </c>
      <c r="G12" s="1">
        <v>1.1765999999999999</v>
      </c>
      <c r="H12" s="1">
        <v>1.0741999999999998</v>
      </c>
      <c r="I12" s="1">
        <v>0.97179999999999978</v>
      </c>
      <c r="J12" s="1">
        <v>0.86939999999999973</v>
      </c>
      <c r="M12" s="4" t="s">
        <v>13</v>
      </c>
      <c r="N12" s="1">
        <v>73.746000000000009</v>
      </c>
      <c r="O12" s="1">
        <v>70.98</v>
      </c>
      <c r="P12" s="1">
        <v>69.699999999999989</v>
      </c>
      <c r="Q12" s="1">
        <v>68.05</v>
      </c>
      <c r="R12" s="1">
        <v>66.37</v>
      </c>
      <c r="S12" s="1">
        <f>89.03/100*S7</f>
        <v>66.193804999999998</v>
      </c>
      <c r="T12" s="1">
        <f t="shared" ref="T12:AI12" si="0">89.03/100*T7</f>
        <v>65.971229999999991</v>
      </c>
      <c r="U12" s="1">
        <f t="shared" si="0"/>
        <v>65.775363999999996</v>
      </c>
      <c r="V12" s="1">
        <f t="shared" si="0"/>
        <v>65.570594999999997</v>
      </c>
      <c r="W12" s="1">
        <f t="shared" si="0"/>
        <v>64.617974000000004</v>
      </c>
      <c r="X12" s="1">
        <f t="shared" si="0"/>
        <v>64.279660000000007</v>
      </c>
      <c r="Y12" s="1">
        <f t="shared" si="0"/>
        <v>63.941345999999996</v>
      </c>
      <c r="Z12" s="1">
        <f t="shared" si="0"/>
        <v>63.683158999999996</v>
      </c>
      <c r="AA12" s="1">
        <f t="shared" si="0"/>
        <v>63.309232999999999</v>
      </c>
      <c r="AB12" s="1">
        <f t="shared" si="0"/>
        <v>63.131172999999997</v>
      </c>
      <c r="AC12" s="1">
        <f t="shared" si="0"/>
        <v>62.783955999999996</v>
      </c>
      <c r="AD12" s="1">
        <f t="shared" si="0"/>
        <v>62.50796299999999</v>
      </c>
      <c r="AE12" s="1">
        <f t="shared" si="0"/>
        <v>62.303194000000005</v>
      </c>
      <c r="AF12" s="1">
        <f t="shared" si="0"/>
        <v>61.87585</v>
      </c>
      <c r="AG12" s="1">
        <f t="shared" si="0"/>
        <v>61.546438999999992</v>
      </c>
      <c r="AH12" s="1">
        <f t="shared" si="0"/>
        <v>61.386185000000005</v>
      </c>
      <c r="AI12" s="1">
        <f t="shared" si="0"/>
        <v>60.71846</v>
      </c>
      <c r="AK12" s="14">
        <v>0.89029999999999998</v>
      </c>
    </row>
    <row r="13" spans="4:40" x14ac:dyDescent="0.25">
      <c r="D13" s="3" t="s">
        <v>2</v>
      </c>
      <c r="E13" s="1" t="s">
        <v>5</v>
      </c>
      <c r="F13" s="1">
        <v>7.8299999999999992</v>
      </c>
      <c r="G13" s="1">
        <v>7.6499999999999995</v>
      </c>
      <c r="H13" s="1">
        <v>7.41</v>
      </c>
      <c r="I13" s="1">
        <v>7.3500000000000005</v>
      </c>
      <c r="J13" s="1">
        <v>7.1999999999999993</v>
      </c>
      <c r="M13" s="4" t="s">
        <v>14</v>
      </c>
      <c r="N13" s="1">
        <v>7.8299999999999992</v>
      </c>
      <c r="O13" s="1">
        <v>7.6499999999999995</v>
      </c>
      <c r="P13" s="1">
        <v>7.41</v>
      </c>
      <c r="Q13" s="1">
        <v>7.3500000000000005</v>
      </c>
      <c r="R13" s="1">
        <v>7.1999999999999993</v>
      </c>
      <c r="S13" s="1">
        <f>9.45/100*S7</f>
        <v>7.0260749999999987</v>
      </c>
      <c r="T13" s="1">
        <f t="shared" ref="T13:AI13" si="1">9.45/100*T7</f>
        <v>7.0024499999999987</v>
      </c>
      <c r="U13" s="1">
        <f t="shared" si="1"/>
        <v>6.9816599999999989</v>
      </c>
      <c r="V13" s="1">
        <f t="shared" si="1"/>
        <v>6.9599249999999993</v>
      </c>
      <c r="W13" s="1">
        <f t="shared" si="1"/>
        <v>6.8588099999999992</v>
      </c>
      <c r="X13" s="1">
        <f t="shared" si="1"/>
        <v>6.8228999999999997</v>
      </c>
      <c r="Y13" s="1">
        <f t="shared" si="1"/>
        <v>6.7869899999999985</v>
      </c>
      <c r="Z13" s="1">
        <f t="shared" si="1"/>
        <v>6.7595849999999995</v>
      </c>
      <c r="AA13" s="1">
        <f t="shared" si="1"/>
        <v>6.7198949999999993</v>
      </c>
      <c r="AB13" s="1">
        <f t="shared" si="1"/>
        <v>6.7009949999999989</v>
      </c>
      <c r="AC13" s="1">
        <f t="shared" si="1"/>
        <v>6.6641399999999988</v>
      </c>
      <c r="AD13" s="1">
        <f t="shared" si="1"/>
        <v>6.6348449999999985</v>
      </c>
      <c r="AE13" s="1">
        <f t="shared" si="1"/>
        <v>6.6131099999999998</v>
      </c>
      <c r="AF13" s="1">
        <f t="shared" si="1"/>
        <v>6.5677499999999993</v>
      </c>
      <c r="AG13" s="1">
        <f t="shared" si="1"/>
        <v>6.5327849999999987</v>
      </c>
      <c r="AH13" s="1">
        <f t="shared" si="1"/>
        <v>6.5157749999999997</v>
      </c>
      <c r="AI13" s="1">
        <f t="shared" si="1"/>
        <v>6.4448999999999996</v>
      </c>
      <c r="AK13" s="14">
        <v>9.4500000000000001E-2</v>
      </c>
    </row>
    <row r="14" spans="4:40" x14ac:dyDescent="0.25">
      <c r="D14" s="3" t="s">
        <v>3</v>
      </c>
      <c r="E14" s="1" t="s">
        <v>5</v>
      </c>
      <c r="F14" s="1">
        <v>73.746000000000009</v>
      </c>
      <c r="G14" s="1">
        <v>70.98</v>
      </c>
      <c r="H14" s="1">
        <v>69.699999999999989</v>
      </c>
      <c r="I14" s="1">
        <v>68.05</v>
      </c>
      <c r="J14" s="1">
        <v>66.37</v>
      </c>
      <c r="M14" s="4" t="s">
        <v>15</v>
      </c>
      <c r="N14" s="1">
        <v>1.2789999999999999</v>
      </c>
      <c r="O14" s="1">
        <v>1.1765999999999999</v>
      </c>
      <c r="P14" s="1">
        <v>1.0741999999999998</v>
      </c>
      <c r="Q14" s="1">
        <v>0.97179999999999978</v>
      </c>
      <c r="R14" s="1">
        <v>0.86939999999999973</v>
      </c>
      <c r="S14" s="1">
        <f>1.54/100*S7</f>
        <v>1.14499</v>
      </c>
      <c r="T14" s="1">
        <f t="shared" ref="T14:AI14" si="2">1.54/100*T7</f>
        <v>1.14114</v>
      </c>
      <c r="U14" s="1">
        <f t="shared" si="2"/>
        <v>1.1377519999999999</v>
      </c>
      <c r="V14" s="1">
        <f t="shared" si="2"/>
        <v>1.1342100000000002</v>
      </c>
      <c r="W14" s="1">
        <f t="shared" si="2"/>
        <v>1.1177319999999999</v>
      </c>
      <c r="X14" s="1">
        <f t="shared" si="2"/>
        <v>1.11188</v>
      </c>
      <c r="Y14" s="1">
        <f t="shared" si="2"/>
        <v>1.106028</v>
      </c>
      <c r="Z14" s="1">
        <f t="shared" si="2"/>
        <v>1.1015620000000002</v>
      </c>
      <c r="AA14" s="1">
        <f t="shared" si="2"/>
        <v>1.095094</v>
      </c>
      <c r="AB14" s="1">
        <f t="shared" si="2"/>
        <v>1.092014</v>
      </c>
      <c r="AC14" s="1">
        <f t="shared" si="2"/>
        <v>1.0860080000000001</v>
      </c>
      <c r="AD14" s="1">
        <f t="shared" si="2"/>
        <v>1.081234</v>
      </c>
      <c r="AE14" s="1">
        <f t="shared" si="2"/>
        <v>1.0776920000000001</v>
      </c>
      <c r="AF14" s="1">
        <f t="shared" si="2"/>
        <v>1.0703</v>
      </c>
      <c r="AG14" s="1">
        <f t="shared" si="2"/>
        <v>1.064602</v>
      </c>
      <c r="AH14" s="1">
        <f t="shared" si="2"/>
        <v>1.0618300000000001</v>
      </c>
      <c r="AI14" s="1">
        <f t="shared" si="2"/>
        <v>1.0502800000000001</v>
      </c>
      <c r="AK14" s="14">
        <v>1.54E-2</v>
      </c>
    </row>
    <row r="15" spans="4:40" x14ac:dyDescent="0.25">
      <c r="D15" s="3"/>
      <c r="E15" s="4" t="s">
        <v>4</v>
      </c>
      <c r="F15" s="5">
        <f>SUM(F12:F14)</f>
        <v>82.855000000000004</v>
      </c>
      <c r="G15" s="5">
        <f>SUM(G12:G14)</f>
        <v>79.806600000000003</v>
      </c>
      <c r="H15" s="5">
        <f>SUM(H12:H14)</f>
        <v>78.18419999999999</v>
      </c>
      <c r="I15" s="5">
        <f>SUM(I12:I14)</f>
        <v>76.371799999999993</v>
      </c>
      <c r="J15" s="5">
        <f>SUM(J12:J14)</f>
        <v>74.439400000000006</v>
      </c>
      <c r="T15" s="12"/>
      <c r="V15" s="13"/>
    </row>
    <row r="16" spans="4:40" x14ac:dyDescent="0.25">
      <c r="D16" s="3"/>
      <c r="E16" s="1"/>
      <c r="F16" s="1"/>
      <c r="G16" s="1"/>
      <c r="H16" s="1"/>
      <c r="I16" s="1"/>
      <c r="J16" s="1"/>
      <c r="M16" s="16" t="s">
        <v>18</v>
      </c>
      <c r="T16" s="12"/>
      <c r="V16" s="13"/>
    </row>
    <row r="17" spans="3:46" x14ac:dyDescent="0.25">
      <c r="D17" s="3"/>
      <c r="E17" s="1"/>
      <c r="F17" s="1"/>
      <c r="G17" s="1"/>
      <c r="H17" s="1"/>
      <c r="I17" s="1"/>
      <c r="J17" s="1"/>
      <c r="M17" s="16" t="s">
        <v>19</v>
      </c>
      <c r="T17" s="12"/>
      <c r="V17" s="13"/>
      <c r="AD17">
        <v>1.14499</v>
      </c>
      <c r="AE17">
        <v>1.14114</v>
      </c>
      <c r="AF17">
        <v>1.1377519999999999</v>
      </c>
      <c r="AG17">
        <v>1.1342100000000002</v>
      </c>
      <c r="AH17">
        <v>1.1177319999999999</v>
      </c>
      <c r="AI17">
        <v>1.11188</v>
      </c>
      <c r="AJ17">
        <v>1.106028</v>
      </c>
      <c r="AK17">
        <v>1.1015620000000002</v>
      </c>
      <c r="AL17">
        <v>1.095094</v>
      </c>
      <c r="AM17">
        <v>1.092014</v>
      </c>
      <c r="AN17">
        <v>1.0860080000000001</v>
      </c>
      <c r="AO17">
        <v>1.081234</v>
      </c>
      <c r="AP17">
        <v>1.0776920000000001</v>
      </c>
      <c r="AQ17">
        <v>1.0703</v>
      </c>
      <c r="AR17">
        <v>1.064602</v>
      </c>
      <c r="AS17">
        <v>1.0618300000000001</v>
      </c>
      <c r="AT17">
        <v>1.0502800000000001</v>
      </c>
    </row>
    <row r="18" spans="3:46" x14ac:dyDescent="0.25">
      <c r="D18" s="3" t="s">
        <v>0</v>
      </c>
      <c r="E18" s="1" t="s">
        <v>6</v>
      </c>
      <c r="F18" s="1">
        <v>1.2406299999999999</v>
      </c>
      <c r="G18" s="1">
        <v>1.1382299999999999</v>
      </c>
      <c r="H18" s="1">
        <v>1.0358299999999998</v>
      </c>
      <c r="I18" s="1">
        <v>0.93342999999999976</v>
      </c>
      <c r="J18" s="1">
        <v>0.83102999999999971</v>
      </c>
      <c r="M18" s="16" t="s">
        <v>20</v>
      </c>
      <c r="T18" s="12"/>
      <c r="V18" s="13"/>
    </row>
    <row r="19" spans="3:46" x14ac:dyDescent="0.25">
      <c r="D19" s="3" t="s">
        <v>2</v>
      </c>
      <c r="E19" s="1" t="s">
        <v>6</v>
      </c>
      <c r="F19" s="1">
        <v>7.5</v>
      </c>
      <c r="G19" s="1">
        <v>7.4</v>
      </c>
      <c r="H19" s="1">
        <v>7.18</v>
      </c>
      <c r="I19" s="1">
        <v>7.12</v>
      </c>
      <c r="J19" s="1">
        <v>6.91</v>
      </c>
      <c r="M19" s="16" t="s">
        <v>21</v>
      </c>
      <c r="T19" s="12"/>
      <c r="U19" t="s">
        <v>12</v>
      </c>
      <c r="V19" s="13" t="s">
        <v>10</v>
      </c>
    </row>
    <row r="20" spans="3:46" x14ac:dyDescent="0.25">
      <c r="D20" s="3" t="s">
        <v>3</v>
      </c>
      <c r="E20" s="1" t="s">
        <v>6</v>
      </c>
      <c r="F20" s="1">
        <v>71.533620000000013</v>
      </c>
      <c r="G20" s="1">
        <v>68.767620000000008</v>
      </c>
      <c r="H20" s="1">
        <v>67.487619999999993</v>
      </c>
      <c r="I20" s="1">
        <v>65.837620000000001</v>
      </c>
      <c r="J20" s="1">
        <v>64.157620000000009</v>
      </c>
      <c r="T20" s="12"/>
      <c r="U20" s="8">
        <v>254.71</v>
      </c>
      <c r="V20" s="13">
        <v>92.790050000000008</v>
      </c>
      <c r="AC20" s="13"/>
    </row>
    <row r="21" spans="3:46" x14ac:dyDescent="0.25">
      <c r="D21" s="1"/>
      <c r="E21" s="4" t="s">
        <v>7</v>
      </c>
      <c r="F21" s="5">
        <f>SUM(F18:F20)</f>
        <v>80.274250000000009</v>
      </c>
      <c r="G21" s="5">
        <f>SUM(G18:G20)</f>
        <v>77.305850000000007</v>
      </c>
      <c r="H21" s="5">
        <f>SUM(H18:H20)</f>
        <v>75.703449999999989</v>
      </c>
      <c r="I21" s="5">
        <f>SUM(I18:I20)</f>
        <v>73.891050000000007</v>
      </c>
      <c r="J21" s="5">
        <f>SUM(J18:J20)</f>
        <v>71.898650000000004</v>
      </c>
      <c r="T21" s="12"/>
      <c r="U21" s="7">
        <v>259.8</v>
      </c>
      <c r="V21" s="13">
        <v>95.852919999999997</v>
      </c>
      <c r="AC21" s="13"/>
    </row>
    <row r="22" spans="3:46" x14ac:dyDescent="0.25">
      <c r="D22" s="1"/>
      <c r="E22" s="1"/>
      <c r="F22" s="1"/>
      <c r="G22" s="1"/>
      <c r="H22" s="1"/>
      <c r="I22" s="1"/>
      <c r="J22" s="1"/>
      <c r="T22" s="12"/>
      <c r="U22" s="7">
        <v>265</v>
      </c>
      <c r="V22" s="13">
        <v>98.557224239999996</v>
      </c>
      <c r="AC22" s="13"/>
    </row>
    <row r="23" spans="3:46" x14ac:dyDescent="0.25">
      <c r="T23" s="12"/>
      <c r="U23" s="7">
        <v>270.3</v>
      </c>
      <c r="V23" s="13">
        <v>101.23294317328001</v>
      </c>
      <c r="AC23" s="13"/>
    </row>
    <row r="24" spans="3:46" x14ac:dyDescent="0.25">
      <c r="T24" s="12"/>
      <c r="U24" s="7">
        <v>275.70999999999998</v>
      </c>
      <c r="V24" s="13">
        <v>103.980107923086</v>
      </c>
      <c r="W24" s="6"/>
      <c r="X24" s="8"/>
      <c r="AC24" s="13"/>
    </row>
    <row r="25" spans="3:46" x14ac:dyDescent="0.25">
      <c r="T25" s="12"/>
      <c r="U25" s="7">
        <v>281.22000000000003</v>
      </c>
      <c r="V25" s="8">
        <v>106.9824</v>
      </c>
      <c r="W25" s="9"/>
      <c r="X25" s="7"/>
      <c r="AC25" s="13"/>
    </row>
    <row r="26" spans="3:46" x14ac:dyDescent="0.25">
      <c r="C26" s="1" t="s">
        <v>8</v>
      </c>
      <c r="D26" s="1"/>
      <c r="E26" s="1"/>
      <c r="F26" s="1">
        <f>100-(F15/F9*100)</f>
        <v>10.707020849757072</v>
      </c>
      <c r="G26" s="1">
        <f>100-(G15/G9*100)</f>
        <v>16.740564606691166</v>
      </c>
      <c r="H26" s="1">
        <f>100-(H15/H9*100)</f>
        <v>20.671264229590079</v>
      </c>
      <c r="I26" s="1">
        <f>100-(I15/I9*100)</f>
        <v>24.558352640923715</v>
      </c>
      <c r="J26" s="1">
        <f>100-(J15/J9*100)</f>
        <v>28.409960821484461</v>
      </c>
      <c r="T26" s="12"/>
      <c r="U26" s="7">
        <v>286.83999999999997</v>
      </c>
      <c r="V26" s="8">
        <v>110.0714</v>
      </c>
      <c r="W26" s="9"/>
      <c r="X26" s="7"/>
      <c r="AC26" s="13"/>
    </row>
    <row r="27" spans="3:46" x14ac:dyDescent="0.25">
      <c r="T27" s="12"/>
      <c r="U27" s="7">
        <v>292.58</v>
      </c>
      <c r="V27" s="8">
        <v>113.2496</v>
      </c>
      <c r="W27" s="9"/>
      <c r="X27" s="7"/>
      <c r="AA27" s="8"/>
      <c r="AB27" s="8"/>
      <c r="AC27" s="13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spans="3:46" x14ac:dyDescent="0.25">
      <c r="T28" s="12"/>
      <c r="U28" s="7">
        <v>298.43</v>
      </c>
      <c r="V28" s="8">
        <v>116.5196</v>
      </c>
      <c r="W28" s="9"/>
      <c r="X28" s="7"/>
      <c r="AC28" s="13"/>
    </row>
    <row r="29" spans="3:46" x14ac:dyDescent="0.25">
      <c r="F29">
        <f>100-(F21/F15*100)</f>
        <v>3.1147788304869835</v>
      </c>
      <c r="G29">
        <f>100-(G21/G15*100)</f>
        <v>3.133512767114496</v>
      </c>
      <c r="H29">
        <f>100-(H21/H15*100)</f>
        <v>3.1729556611182375</v>
      </c>
      <c r="I29">
        <f>100-(I21/I15*100)</f>
        <v>3.248253936662465</v>
      </c>
      <c r="J29">
        <f>100-(J21/J15*100)</f>
        <v>3.4131790422813708</v>
      </c>
      <c r="T29" s="12"/>
      <c r="U29" s="7">
        <v>304.39999999999998</v>
      </c>
      <c r="V29" s="8">
        <v>119.884</v>
      </c>
      <c r="W29" s="9"/>
      <c r="X29" s="7"/>
      <c r="AC29" s="13"/>
    </row>
    <row r="30" spans="3:46" x14ac:dyDescent="0.25">
      <c r="T30" s="12"/>
      <c r="U30" s="7">
        <v>310.49</v>
      </c>
      <c r="V30" s="8">
        <v>123.3455</v>
      </c>
      <c r="W30" s="10"/>
      <c r="X30" s="8"/>
      <c r="AC30" s="13"/>
    </row>
    <row r="31" spans="3:46" x14ac:dyDescent="0.25">
      <c r="U31" s="7">
        <v>316.7</v>
      </c>
      <c r="V31" s="8">
        <v>126.907</v>
      </c>
      <c r="W31" s="10"/>
      <c r="X31" s="8"/>
      <c r="AC31" s="13"/>
    </row>
    <row r="32" spans="3:46" ht="45" x14ac:dyDescent="0.25">
      <c r="U32" s="7">
        <v>323.02999999999997</v>
      </c>
      <c r="V32" s="8">
        <v>130.57130000000001</v>
      </c>
      <c r="W32" s="10"/>
      <c r="X32" s="8"/>
      <c r="Z32" s="6" t="s">
        <v>9</v>
      </c>
      <c r="AA32" s="8" t="s">
        <v>16</v>
      </c>
      <c r="AC32" s="13"/>
    </row>
    <row r="33" spans="21:50" x14ac:dyDescent="0.25">
      <c r="U33" s="7">
        <v>329.49</v>
      </c>
      <c r="V33" s="8">
        <v>134.3415</v>
      </c>
      <c r="W33" s="10"/>
      <c r="X33" s="8"/>
      <c r="Z33" s="9">
        <v>2026</v>
      </c>
      <c r="AA33" s="7">
        <v>82.855000000000004</v>
      </c>
      <c r="AC33" s="13"/>
    </row>
    <row r="34" spans="21:50" x14ac:dyDescent="0.25">
      <c r="U34" s="7">
        <v>336.08</v>
      </c>
      <c r="V34" s="8">
        <v>138.22040000000001</v>
      </c>
      <c r="W34" s="10"/>
      <c r="X34" s="8"/>
      <c r="Z34" s="9">
        <v>2027</v>
      </c>
      <c r="AA34" s="7">
        <v>83.269300000000001</v>
      </c>
      <c r="AC34" s="13"/>
      <c r="AD34" s="7">
        <v>83.269300000000001</v>
      </c>
      <c r="AE34" s="7">
        <v>83.685599999999994</v>
      </c>
      <c r="AF34" s="7">
        <v>84.103999999999999</v>
      </c>
      <c r="AG34" s="7">
        <v>84.524600000000007</v>
      </c>
      <c r="AH34" s="7">
        <v>84.947199999999995</v>
      </c>
      <c r="AI34" s="7">
        <v>85.371899999999997</v>
      </c>
      <c r="AJ34" s="7">
        <v>85.7988</v>
      </c>
      <c r="AK34" s="7">
        <v>86.227800000000002</v>
      </c>
      <c r="AL34" s="7">
        <v>86.658900000000003</v>
      </c>
      <c r="AM34" s="7">
        <v>87.092200000000005</v>
      </c>
      <c r="AN34" s="7">
        <v>87.527699999999996</v>
      </c>
      <c r="AO34" s="7">
        <v>87.965299999999999</v>
      </c>
      <c r="AP34" s="7">
        <v>88.405100000000004</v>
      </c>
      <c r="AQ34" s="7">
        <v>88.847200000000001</v>
      </c>
      <c r="AR34" s="7">
        <v>89.291399999999996</v>
      </c>
      <c r="AS34" s="7">
        <v>89.737899999999996</v>
      </c>
      <c r="AT34" s="7">
        <v>90.186499999999995</v>
      </c>
      <c r="AU34" s="7">
        <v>90.637500000000003</v>
      </c>
      <c r="AV34" s="7">
        <v>91.090699999999998</v>
      </c>
      <c r="AW34" s="7">
        <v>91.546099999999996</v>
      </c>
      <c r="AX34" s="8">
        <v>92.003900000000002</v>
      </c>
    </row>
    <row r="35" spans="21:50" x14ac:dyDescent="0.25">
      <c r="U35" s="7">
        <v>342.81</v>
      </c>
      <c r="V35" s="8">
        <v>142.2114</v>
      </c>
      <c r="W35" s="10"/>
      <c r="X35" s="8"/>
      <c r="Z35" s="9">
        <v>2028</v>
      </c>
      <c r="AA35" s="7">
        <v>83.685599999999994</v>
      </c>
      <c r="AC35" s="13"/>
    </row>
    <row r="36" spans="21:50" x14ac:dyDescent="0.25">
      <c r="U36" s="7">
        <v>349.66</v>
      </c>
      <c r="V36" s="8">
        <v>146.3176</v>
      </c>
      <c r="W36" s="10"/>
      <c r="X36" s="8"/>
      <c r="Z36" s="9">
        <v>2029</v>
      </c>
      <c r="AA36" s="7">
        <v>84.103999999999999</v>
      </c>
      <c r="AC36" s="13"/>
    </row>
    <row r="37" spans="21:50" x14ac:dyDescent="0.25">
      <c r="U37" s="7">
        <v>356.66</v>
      </c>
      <c r="V37" s="8">
        <v>150.54239999999999</v>
      </c>
      <c r="W37" s="10"/>
      <c r="X37" s="8"/>
      <c r="Z37" s="9">
        <v>2030</v>
      </c>
      <c r="AA37" s="7">
        <v>84.524600000000007</v>
      </c>
      <c r="AC37" s="13"/>
    </row>
    <row r="38" spans="21:50" x14ac:dyDescent="0.25">
      <c r="U38" s="7">
        <v>363.79</v>
      </c>
      <c r="V38" s="8">
        <v>154.88919999999999</v>
      </c>
      <c r="W38" s="10"/>
      <c r="X38" s="8"/>
      <c r="Z38" s="9">
        <v>2031</v>
      </c>
      <c r="AA38" s="7">
        <v>84.947199999999995</v>
      </c>
      <c r="AC38" s="13"/>
    </row>
    <row r="39" spans="21:50" x14ac:dyDescent="0.25">
      <c r="U39" s="7">
        <v>371.06</v>
      </c>
      <c r="V39" s="8">
        <v>159.36150000000001</v>
      </c>
      <c r="W39" s="10"/>
      <c r="X39" s="8"/>
      <c r="Z39" s="9">
        <v>2032</v>
      </c>
      <c r="AA39" s="7">
        <v>85.371899999999997</v>
      </c>
    </row>
    <row r="40" spans="21:50" x14ac:dyDescent="0.25">
      <c r="U40" s="7">
        <v>378.49</v>
      </c>
      <c r="V40" s="8">
        <v>163.96289999999999</v>
      </c>
      <c r="W40" s="10"/>
      <c r="X40" s="8"/>
      <c r="Z40" s="9">
        <v>2033</v>
      </c>
      <c r="AA40" s="7">
        <v>85.7988</v>
      </c>
    </row>
    <row r="41" spans="21:50" x14ac:dyDescent="0.25">
      <c r="U41" s="8">
        <v>386.06</v>
      </c>
      <c r="V41" s="8">
        <v>168.69710000000001</v>
      </c>
      <c r="W41" s="10"/>
      <c r="X41" s="8"/>
      <c r="Z41" s="9">
        <v>2034</v>
      </c>
      <c r="AA41" s="7">
        <v>86.227800000000002</v>
      </c>
    </row>
    <row r="42" spans="21:50" x14ac:dyDescent="0.25">
      <c r="W42" s="10"/>
      <c r="X42" s="8"/>
      <c r="Z42" s="9">
        <v>2035</v>
      </c>
      <c r="AA42" s="7">
        <v>86.658900000000003</v>
      </c>
    </row>
    <row r="43" spans="21:50" x14ac:dyDescent="0.25">
      <c r="W43" s="10"/>
      <c r="X43" s="8"/>
      <c r="Z43" s="9">
        <v>2036</v>
      </c>
      <c r="AA43" s="7">
        <v>87.092200000000005</v>
      </c>
    </row>
    <row r="44" spans="21:50" x14ac:dyDescent="0.25">
      <c r="W44" s="10"/>
      <c r="X44" s="8"/>
      <c r="Z44" s="9">
        <v>2037</v>
      </c>
      <c r="AA44" s="7">
        <v>87.527699999999996</v>
      </c>
    </row>
    <row r="45" spans="21:50" x14ac:dyDescent="0.25">
      <c r="W45" s="10"/>
      <c r="X45" s="8"/>
      <c r="Z45" s="9">
        <v>2038</v>
      </c>
      <c r="AA45" s="7">
        <v>87.965299999999999</v>
      </c>
    </row>
    <row r="46" spans="21:50" x14ac:dyDescent="0.25">
      <c r="W46" s="10"/>
      <c r="X46" s="8"/>
      <c r="Z46" s="9">
        <v>2039</v>
      </c>
      <c r="AA46" s="7">
        <v>88.405100000000004</v>
      </c>
    </row>
    <row r="47" spans="21:50" x14ac:dyDescent="0.25">
      <c r="Z47" s="9">
        <v>2040</v>
      </c>
      <c r="AA47" s="7">
        <v>88.847200000000001</v>
      </c>
    </row>
    <row r="48" spans="21:50" x14ac:dyDescent="0.25">
      <c r="Z48" s="9">
        <v>2041</v>
      </c>
      <c r="AA48" s="7">
        <v>89.291399999999996</v>
      </c>
    </row>
    <row r="49" spans="26:27" x14ac:dyDescent="0.25">
      <c r="Z49" s="9">
        <v>2042</v>
      </c>
      <c r="AA49" s="7">
        <v>89.737899999999996</v>
      </c>
    </row>
    <row r="50" spans="26:27" x14ac:dyDescent="0.25">
      <c r="Z50" s="9">
        <v>2043</v>
      </c>
      <c r="AA50" s="7">
        <v>90.186499999999995</v>
      </c>
    </row>
    <row r="51" spans="26:27" x14ac:dyDescent="0.25">
      <c r="Z51" s="9">
        <v>2044</v>
      </c>
      <c r="AA51" s="7">
        <v>90.637500000000003</v>
      </c>
    </row>
    <row r="52" spans="26:27" x14ac:dyDescent="0.25">
      <c r="Z52" s="9">
        <v>2045</v>
      </c>
      <c r="AA52" s="7">
        <v>91.090699999999998</v>
      </c>
    </row>
    <row r="53" spans="26:27" x14ac:dyDescent="0.25">
      <c r="Z53" s="9">
        <v>2046</v>
      </c>
      <c r="AA53" s="7">
        <v>91.546099999999996</v>
      </c>
    </row>
    <row r="54" spans="26:27" x14ac:dyDescent="0.25">
      <c r="Z54" s="10">
        <v>2047</v>
      </c>
      <c r="AA54" s="8">
        <v>92.003900000000002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C370-F625-40F2-8666-C6474827316C}">
  <dimension ref="D3:Z39"/>
  <sheetViews>
    <sheetView topLeftCell="A25" workbookViewId="0">
      <selection activeCell="Q43" sqref="Q43"/>
    </sheetView>
  </sheetViews>
  <sheetFormatPr defaultRowHeight="15" x14ac:dyDescent="0.25"/>
  <sheetData>
    <row r="3" spans="4:26" x14ac:dyDescent="0.25"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4:26" x14ac:dyDescent="0.25">
      <c r="D4" s="2" t="s">
        <v>37</v>
      </c>
      <c r="E4" s="30">
        <v>2026</v>
      </c>
      <c r="F4" s="30">
        <v>2027</v>
      </c>
      <c r="G4" s="30">
        <v>2028</v>
      </c>
      <c r="H4" s="30">
        <v>2029</v>
      </c>
      <c r="I4" s="30">
        <v>2030</v>
      </c>
      <c r="J4" s="30">
        <v>2031</v>
      </c>
      <c r="K4" s="30">
        <v>2032</v>
      </c>
      <c r="L4" s="30">
        <v>2033</v>
      </c>
      <c r="M4" s="30">
        <v>2034</v>
      </c>
      <c r="N4" s="30">
        <v>2035</v>
      </c>
      <c r="O4" s="30">
        <v>2036</v>
      </c>
      <c r="P4" s="30">
        <v>2037</v>
      </c>
      <c r="Q4" s="30">
        <v>2038</v>
      </c>
      <c r="R4" s="30">
        <v>2039</v>
      </c>
      <c r="S4" s="30">
        <v>2040</v>
      </c>
      <c r="T4" s="30">
        <v>2041</v>
      </c>
      <c r="U4" s="30">
        <v>2042</v>
      </c>
      <c r="V4" s="30">
        <v>2043</v>
      </c>
      <c r="W4" s="30">
        <v>2044</v>
      </c>
      <c r="X4" s="30">
        <v>2045</v>
      </c>
      <c r="Y4" s="30">
        <v>2046</v>
      </c>
      <c r="Z4" s="30">
        <v>2047</v>
      </c>
    </row>
    <row r="5" spans="4:26" x14ac:dyDescent="0.25">
      <c r="D5" s="31" t="s">
        <v>11</v>
      </c>
      <c r="E5" s="34">
        <v>92.790049999999994</v>
      </c>
      <c r="F5" s="34">
        <v>95.852919999999997</v>
      </c>
      <c r="G5" s="34">
        <v>98.557224239999996</v>
      </c>
      <c r="H5" s="34">
        <v>101.23294317328001</v>
      </c>
      <c r="I5" s="34">
        <v>103.980107923086</v>
      </c>
      <c r="J5" s="35">
        <v>106.9824</v>
      </c>
      <c r="K5" s="35">
        <v>110.0714</v>
      </c>
      <c r="L5" s="35">
        <v>113.2496</v>
      </c>
      <c r="M5" s="35">
        <v>116.5196</v>
      </c>
      <c r="N5" s="35">
        <v>119.884</v>
      </c>
      <c r="O5" s="35">
        <v>123.3455</v>
      </c>
      <c r="P5" s="35">
        <v>126.907</v>
      </c>
      <c r="Q5" s="35">
        <v>130.57130000000001</v>
      </c>
      <c r="R5" s="35">
        <v>134.3415</v>
      </c>
      <c r="S5" s="35">
        <v>138.22040000000001</v>
      </c>
      <c r="T5" s="35">
        <v>142.2114</v>
      </c>
      <c r="U5" s="35">
        <v>146.3176</v>
      </c>
      <c r="V5" s="35">
        <v>150.54239999999999</v>
      </c>
      <c r="W5" s="35">
        <v>154.88919999999999</v>
      </c>
      <c r="X5" s="35">
        <v>159.36150000000001</v>
      </c>
      <c r="Y5" s="35">
        <v>163.96289999999999</v>
      </c>
      <c r="Z5" s="35">
        <v>168.69710000000001</v>
      </c>
    </row>
    <row r="6" spans="4:26" x14ac:dyDescent="0.25">
      <c r="D6" s="31" t="s">
        <v>5</v>
      </c>
      <c r="E6" s="29">
        <v>82.855000000000004</v>
      </c>
      <c r="F6" s="29">
        <v>79.806600000000003</v>
      </c>
      <c r="G6" s="29">
        <v>78.18419999999999</v>
      </c>
      <c r="H6" s="29">
        <v>76.371799999999993</v>
      </c>
      <c r="I6" s="29">
        <v>74.439400000000006</v>
      </c>
      <c r="J6" s="29">
        <v>74.349999999999994</v>
      </c>
      <c r="K6" s="29">
        <v>74.099999999999994</v>
      </c>
      <c r="L6" s="29">
        <v>73.88</v>
      </c>
      <c r="M6" s="29">
        <v>73.650000000000006</v>
      </c>
      <c r="N6" s="29">
        <v>72.58</v>
      </c>
      <c r="O6" s="29">
        <v>72.2</v>
      </c>
      <c r="P6" s="29">
        <v>71.819999999999993</v>
      </c>
      <c r="Q6" s="29">
        <v>71.53</v>
      </c>
      <c r="R6" s="29">
        <v>71.11</v>
      </c>
      <c r="S6" s="29">
        <v>70.91</v>
      </c>
      <c r="T6" s="29">
        <v>70.52</v>
      </c>
      <c r="U6" s="29">
        <v>70.209999999999994</v>
      </c>
      <c r="V6" s="29">
        <v>69.98</v>
      </c>
      <c r="W6" s="29">
        <v>69.5</v>
      </c>
      <c r="X6" s="29">
        <v>69.13</v>
      </c>
      <c r="Y6" s="29">
        <v>68.95</v>
      </c>
      <c r="Z6" s="29">
        <v>68.2</v>
      </c>
    </row>
    <row r="7" spans="4:26" x14ac:dyDescent="0.25">
      <c r="D7" s="31" t="s">
        <v>17</v>
      </c>
      <c r="E7" s="32">
        <v>86.155000000000001</v>
      </c>
      <c r="F7" s="32">
        <v>86.269300000000001</v>
      </c>
      <c r="G7" s="32">
        <v>86.555999999999997</v>
      </c>
      <c r="H7" s="32">
        <v>86.64</v>
      </c>
      <c r="I7" s="32">
        <v>86.724599999999995</v>
      </c>
      <c r="J7" s="32">
        <v>86.947199999999995</v>
      </c>
      <c r="K7" s="32">
        <v>87.171899999999994</v>
      </c>
      <c r="L7" s="32">
        <v>87.598799999999997</v>
      </c>
      <c r="M7" s="32">
        <v>87.827799999999996</v>
      </c>
      <c r="N7" s="32">
        <v>87.9589</v>
      </c>
      <c r="O7" s="32">
        <v>88.092200000000005</v>
      </c>
      <c r="P7" s="32">
        <v>88.527699999999996</v>
      </c>
      <c r="Q7" s="32">
        <v>88.665300000000002</v>
      </c>
      <c r="R7" s="32">
        <v>88.905100000000004</v>
      </c>
      <c r="S7" s="32">
        <v>88.997200000000007</v>
      </c>
      <c r="T7" s="32">
        <v>89.291399999999996</v>
      </c>
      <c r="U7" s="32">
        <v>89.737899999999996</v>
      </c>
      <c r="V7" s="32">
        <v>90.186499999999995</v>
      </c>
      <c r="W7" s="32">
        <v>90.637500000000003</v>
      </c>
      <c r="X7" s="32">
        <v>91.090699999999998</v>
      </c>
      <c r="Y7" s="32">
        <v>91.546099999999996</v>
      </c>
      <c r="Z7" s="33">
        <v>92.003900000000002</v>
      </c>
    </row>
    <row r="8" spans="4:26" x14ac:dyDescent="0.25">
      <c r="D8" s="31" t="s">
        <v>12</v>
      </c>
      <c r="E8" s="36">
        <v>254.71</v>
      </c>
      <c r="F8" s="37">
        <v>259.8</v>
      </c>
      <c r="G8" s="37">
        <v>265</v>
      </c>
      <c r="H8" s="37">
        <v>270.3</v>
      </c>
      <c r="I8" s="37">
        <v>275.70999999999998</v>
      </c>
      <c r="J8" s="37">
        <v>281.22000000000003</v>
      </c>
      <c r="K8" s="37">
        <v>286.83999999999997</v>
      </c>
      <c r="L8" s="37">
        <v>292.58</v>
      </c>
      <c r="M8" s="37">
        <v>298.43</v>
      </c>
      <c r="N8" s="37">
        <v>304.39999999999998</v>
      </c>
      <c r="O8" s="37">
        <v>310.49</v>
      </c>
      <c r="P8" s="37">
        <v>316.7</v>
      </c>
      <c r="Q8" s="37">
        <v>323.02999999999997</v>
      </c>
      <c r="R8" s="37">
        <v>329.49</v>
      </c>
      <c r="S8" s="37">
        <v>336.08</v>
      </c>
      <c r="T8" s="37">
        <v>342.81</v>
      </c>
      <c r="U8" s="37">
        <v>349.66</v>
      </c>
      <c r="V8" s="37">
        <v>356.66</v>
      </c>
      <c r="W8" s="37">
        <v>363.79</v>
      </c>
      <c r="X8" s="37">
        <v>371.06</v>
      </c>
      <c r="Y8" s="37">
        <v>378.49</v>
      </c>
      <c r="Z8" s="36">
        <v>386.06</v>
      </c>
    </row>
    <row r="11" spans="4:26" x14ac:dyDescent="0.25">
      <c r="D11" s="44" t="s">
        <v>22</v>
      </c>
      <c r="E11">
        <f>E7-E6</f>
        <v>3.2999999999999972</v>
      </c>
      <c r="F11" s="13">
        <f t="shared" ref="F11:Z11" si="0">F7-F6</f>
        <v>6.4626999999999981</v>
      </c>
      <c r="G11" s="13">
        <f t="shared" si="0"/>
        <v>8.3718000000000075</v>
      </c>
      <c r="H11" s="13">
        <f t="shared" si="0"/>
        <v>10.268200000000007</v>
      </c>
      <c r="I11" s="13">
        <f t="shared" si="0"/>
        <v>12.285199999999989</v>
      </c>
      <c r="J11" s="13">
        <f t="shared" si="0"/>
        <v>12.597200000000001</v>
      </c>
      <c r="K11" s="13">
        <f t="shared" si="0"/>
        <v>13.071899999999999</v>
      </c>
      <c r="L11" s="13">
        <f t="shared" si="0"/>
        <v>13.718800000000002</v>
      </c>
      <c r="M11" s="13">
        <f t="shared" si="0"/>
        <v>14.177799999999991</v>
      </c>
      <c r="N11" s="13">
        <f t="shared" si="0"/>
        <v>15.378900000000002</v>
      </c>
      <c r="O11" s="13">
        <f t="shared" si="0"/>
        <v>15.892200000000003</v>
      </c>
      <c r="P11" s="13">
        <f t="shared" si="0"/>
        <v>16.707700000000003</v>
      </c>
      <c r="Q11" s="13">
        <f t="shared" si="0"/>
        <v>17.135300000000001</v>
      </c>
      <c r="R11" s="13">
        <f t="shared" si="0"/>
        <v>17.795100000000005</v>
      </c>
      <c r="S11" s="13">
        <f t="shared" si="0"/>
        <v>18.08720000000001</v>
      </c>
      <c r="T11" s="13">
        <f>T7-T6</f>
        <v>18.7714</v>
      </c>
      <c r="U11" s="13">
        <f t="shared" si="0"/>
        <v>19.527900000000002</v>
      </c>
      <c r="V11" s="13">
        <f t="shared" si="0"/>
        <v>20.206499999999991</v>
      </c>
      <c r="W11" s="13">
        <f t="shared" si="0"/>
        <v>21.137500000000003</v>
      </c>
      <c r="X11" s="13">
        <f t="shared" si="0"/>
        <v>21.960700000000003</v>
      </c>
      <c r="Y11" s="13">
        <f t="shared" si="0"/>
        <v>22.596099999999993</v>
      </c>
      <c r="Z11" s="13">
        <f t="shared" si="0"/>
        <v>23.803899999999999</v>
      </c>
    </row>
    <row r="12" spans="4:26" x14ac:dyDescent="0.25">
      <c r="D12" s="44"/>
    </row>
    <row r="13" spans="4:26" x14ac:dyDescent="0.25">
      <c r="D13" s="44" t="s">
        <v>23</v>
      </c>
      <c r="E13">
        <f>E5-E7</f>
        <v>6.6350499999999926</v>
      </c>
      <c r="F13" s="13">
        <f>F5-F7</f>
        <v>9.5836199999999963</v>
      </c>
      <c r="G13" s="13">
        <f t="shared" ref="G13:Z13" si="1">G5-G7</f>
        <v>12.001224239999999</v>
      </c>
      <c r="H13" s="13">
        <f t="shared" si="1"/>
        <v>14.592943173280005</v>
      </c>
      <c r="I13" s="13">
        <f t="shared" si="1"/>
        <v>17.255507923086</v>
      </c>
      <c r="J13" s="13">
        <f t="shared" si="1"/>
        <v>20.035200000000003</v>
      </c>
      <c r="K13" s="13">
        <f t="shared" si="1"/>
        <v>22.899500000000003</v>
      </c>
      <c r="L13" s="13">
        <f t="shared" si="1"/>
        <v>25.650800000000004</v>
      </c>
      <c r="M13" s="13">
        <f t="shared" si="1"/>
        <v>28.691800000000001</v>
      </c>
      <c r="N13" s="13">
        <f t="shared" si="1"/>
        <v>31.9251</v>
      </c>
      <c r="O13" s="13">
        <f t="shared" si="1"/>
        <v>35.253299999999996</v>
      </c>
      <c r="P13" s="13">
        <f t="shared" si="1"/>
        <v>38.379300000000001</v>
      </c>
      <c r="Q13" s="13">
        <f t="shared" si="1"/>
        <v>41.906000000000006</v>
      </c>
      <c r="R13" s="13">
        <f t="shared" si="1"/>
        <v>45.436399999999992</v>
      </c>
      <c r="S13" s="13">
        <f t="shared" si="1"/>
        <v>49.223200000000006</v>
      </c>
      <c r="T13" s="13">
        <f t="shared" si="1"/>
        <v>52.92</v>
      </c>
      <c r="U13" s="13">
        <f t="shared" si="1"/>
        <v>56.579700000000003</v>
      </c>
      <c r="V13" s="13">
        <f t="shared" si="1"/>
        <v>60.355899999999991</v>
      </c>
      <c r="W13" s="13">
        <f t="shared" si="1"/>
        <v>64.251699999999985</v>
      </c>
      <c r="X13" s="13">
        <f t="shared" si="1"/>
        <v>68.270800000000008</v>
      </c>
      <c r="Y13" s="13">
        <f t="shared" si="1"/>
        <v>72.416799999999995</v>
      </c>
      <c r="Z13" s="13">
        <f t="shared" si="1"/>
        <v>76.693200000000004</v>
      </c>
    </row>
    <row r="20" spans="4:26" x14ac:dyDescent="0.25">
      <c r="D20" s="17" t="s">
        <v>22</v>
      </c>
      <c r="E20" s="17">
        <v>3.2999999999999972</v>
      </c>
      <c r="F20" s="17">
        <v>6.4626999999999981</v>
      </c>
      <c r="G20" s="17">
        <v>8.3718000000000092</v>
      </c>
      <c r="H20" s="17">
        <v>10.268200000000007</v>
      </c>
      <c r="I20" s="17">
        <v>12.285199999999989</v>
      </c>
      <c r="J20" s="17">
        <v>12.597200000000001</v>
      </c>
      <c r="K20" s="17">
        <v>13.071899999999999</v>
      </c>
      <c r="L20" s="17">
        <v>13.718800000000002</v>
      </c>
      <c r="M20" s="17">
        <v>14.177799999999991</v>
      </c>
      <c r="N20" s="17">
        <v>15.378900000000002</v>
      </c>
      <c r="O20" s="17">
        <v>15.892200000000003</v>
      </c>
      <c r="P20" s="17">
        <v>16.707700000000003</v>
      </c>
      <c r="Q20" s="17">
        <v>17.135300000000001</v>
      </c>
      <c r="R20" s="17">
        <v>17.795100000000005</v>
      </c>
      <c r="S20" s="17">
        <v>18.08720000000001</v>
      </c>
      <c r="T20" s="17">
        <v>18.7714</v>
      </c>
      <c r="U20" s="17">
        <v>19.527900000000002</v>
      </c>
      <c r="V20" s="17">
        <v>20.206499999999991</v>
      </c>
      <c r="W20" s="17">
        <v>21.137500000000003</v>
      </c>
      <c r="X20" s="17">
        <v>21.960700000000003</v>
      </c>
      <c r="Y20" s="17">
        <v>22.596099999999993</v>
      </c>
      <c r="Z20" s="17">
        <v>23.803899999999999</v>
      </c>
    </row>
    <row r="21" spans="4:26" x14ac:dyDescent="0.25"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4:26" x14ac:dyDescent="0.25">
      <c r="D22" s="17" t="s">
        <v>23</v>
      </c>
      <c r="E22" s="17">
        <v>6.6350499999999899</v>
      </c>
      <c r="F22" s="17">
        <v>9.5836199999999963</v>
      </c>
      <c r="G22" s="17">
        <v>12.001224239999999</v>
      </c>
      <c r="H22" s="17">
        <v>14.592943173280005</v>
      </c>
      <c r="I22" s="17">
        <v>17.255507923086</v>
      </c>
      <c r="J22" s="17">
        <v>20.035200000000003</v>
      </c>
      <c r="K22" s="17">
        <v>22.899500000000003</v>
      </c>
      <c r="L22" s="17">
        <v>25.650800000000004</v>
      </c>
      <c r="M22" s="17">
        <v>28.691800000000001</v>
      </c>
      <c r="N22" s="17">
        <v>31.9251</v>
      </c>
      <c r="O22" s="17">
        <v>35.253299999999996</v>
      </c>
      <c r="P22" s="17">
        <v>38.379300000000001</v>
      </c>
      <c r="Q22" s="17">
        <v>41.906000000000006</v>
      </c>
      <c r="R22" s="17">
        <v>45.436399999999992</v>
      </c>
      <c r="S22" s="17">
        <v>49.223200000000006</v>
      </c>
      <c r="T22" s="17">
        <v>52.92</v>
      </c>
      <c r="U22" s="17">
        <v>56.579700000000003</v>
      </c>
      <c r="V22" s="17">
        <v>60.355899999999991</v>
      </c>
      <c r="W22" s="17">
        <v>64.251699999999985</v>
      </c>
      <c r="X22" s="17">
        <v>68.270800000000008</v>
      </c>
      <c r="Y22" s="17">
        <v>72.416799999999995</v>
      </c>
      <c r="Z22" s="17">
        <v>76.693200000000004</v>
      </c>
    </row>
    <row r="25" spans="4:26" x14ac:dyDescent="0.25">
      <c r="D25" t="s">
        <v>24</v>
      </c>
      <c r="E25">
        <f>20/100*E20</f>
        <v>0.65999999999999948</v>
      </c>
      <c r="F25" s="13">
        <f>20/100*F20</f>
        <v>1.2925399999999998</v>
      </c>
      <c r="G25" s="13">
        <f t="shared" ref="G25:Z25" si="2">20/100*G20</f>
        <v>1.6743600000000018</v>
      </c>
      <c r="H25" s="13">
        <f t="shared" si="2"/>
        <v>2.0536400000000015</v>
      </c>
      <c r="I25" s="13">
        <f t="shared" si="2"/>
        <v>2.4570399999999979</v>
      </c>
      <c r="J25" s="13">
        <f t="shared" si="2"/>
        <v>2.5194400000000003</v>
      </c>
      <c r="K25" s="13">
        <f t="shared" si="2"/>
        <v>2.6143800000000001</v>
      </c>
      <c r="L25" s="13">
        <f t="shared" si="2"/>
        <v>2.7437600000000004</v>
      </c>
      <c r="M25" s="13">
        <f t="shared" si="2"/>
        <v>2.8355599999999983</v>
      </c>
      <c r="N25" s="13">
        <f t="shared" si="2"/>
        <v>3.0757800000000004</v>
      </c>
      <c r="O25" s="13">
        <f t="shared" si="2"/>
        <v>3.1784400000000006</v>
      </c>
      <c r="P25" s="13">
        <f t="shared" si="2"/>
        <v>3.3415400000000006</v>
      </c>
      <c r="Q25" s="13">
        <f t="shared" si="2"/>
        <v>3.4270600000000004</v>
      </c>
      <c r="R25" s="13">
        <f t="shared" si="2"/>
        <v>3.5590200000000012</v>
      </c>
      <c r="S25" s="13">
        <f t="shared" si="2"/>
        <v>3.617440000000002</v>
      </c>
      <c r="T25" s="13">
        <f t="shared" si="2"/>
        <v>3.7542800000000001</v>
      </c>
      <c r="U25" s="13">
        <f t="shared" si="2"/>
        <v>3.9055800000000005</v>
      </c>
      <c r="V25" s="13">
        <f t="shared" si="2"/>
        <v>4.0412999999999988</v>
      </c>
      <c r="W25" s="13">
        <f t="shared" si="2"/>
        <v>4.2275000000000009</v>
      </c>
      <c r="X25" s="13">
        <f t="shared" si="2"/>
        <v>4.3921400000000004</v>
      </c>
      <c r="Y25" s="13">
        <f t="shared" si="2"/>
        <v>4.5192199999999989</v>
      </c>
      <c r="Z25" s="13">
        <f t="shared" si="2"/>
        <v>4.7607799999999996</v>
      </c>
    </row>
    <row r="26" spans="4:26" x14ac:dyDescent="0.25">
      <c r="D26" t="s">
        <v>25</v>
      </c>
      <c r="E26">
        <f>23/100*E20</f>
        <v>0.75899999999999934</v>
      </c>
      <c r="F26" s="13">
        <f t="shared" ref="F26:Z26" si="3">23/100*F20</f>
        <v>1.4864209999999995</v>
      </c>
      <c r="G26" s="13">
        <f t="shared" si="3"/>
        <v>1.9255140000000022</v>
      </c>
      <c r="H26" s="13">
        <f t="shared" si="3"/>
        <v>2.361686000000002</v>
      </c>
      <c r="I26" s="13">
        <f t="shared" si="3"/>
        <v>2.8255959999999978</v>
      </c>
      <c r="J26" s="13">
        <f t="shared" si="3"/>
        <v>2.8973560000000003</v>
      </c>
      <c r="K26" s="13">
        <f t="shared" si="3"/>
        <v>3.0065369999999998</v>
      </c>
      <c r="L26" s="13">
        <f t="shared" si="3"/>
        <v>3.1553240000000007</v>
      </c>
      <c r="M26" s="13">
        <f t="shared" si="3"/>
        <v>3.2608939999999982</v>
      </c>
      <c r="N26" s="13">
        <f t="shared" si="3"/>
        <v>3.5371470000000005</v>
      </c>
      <c r="O26" s="13">
        <f t="shared" si="3"/>
        <v>3.6552060000000006</v>
      </c>
      <c r="P26" s="13">
        <f t="shared" si="3"/>
        <v>3.8427710000000008</v>
      </c>
      <c r="Q26" s="13">
        <f t="shared" si="3"/>
        <v>3.9411190000000005</v>
      </c>
      <c r="R26" s="13">
        <f t="shared" si="3"/>
        <v>4.0928730000000018</v>
      </c>
      <c r="S26" s="13">
        <f t="shared" si="3"/>
        <v>4.1600560000000026</v>
      </c>
      <c r="T26" s="13">
        <f t="shared" si="3"/>
        <v>4.3174220000000005</v>
      </c>
      <c r="U26" s="13">
        <f t="shared" si="3"/>
        <v>4.4914170000000011</v>
      </c>
      <c r="V26" s="13">
        <f t="shared" si="3"/>
        <v>4.6474949999999984</v>
      </c>
      <c r="W26" s="13">
        <f t="shared" si="3"/>
        <v>4.861625000000001</v>
      </c>
      <c r="X26" s="13">
        <f t="shared" si="3"/>
        <v>5.0509610000000009</v>
      </c>
      <c r="Y26" s="13">
        <f t="shared" si="3"/>
        <v>5.1971029999999985</v>
      </c>
      <c r="Z26" s="13">
        <f t="shared" si="3"/>
        <v>5.4748970000000003</v>
      </c>
    </row>
    <row r="27" spans="4:26" x14ac:dyDescent="0.25">
      <c r="D27" t="s">
        <v>26</v>
      </c>
      <c r="E27">
        <f>12/100*E20</f>
        <v>0.39599999999999963</v>
      </c>
      <c r="F27" s="13">
        <f t="shared" ref="F27:Z27" si="4">12/100*F20</f>
        <v>0.77552399999999977</v>
      </c>
      <c r="G27" s="13">
        <f t="shared" si="4"/>
        <v>1.0046160000000011</v>
      </c>
      <c r="H27" s="13">
        <f t="shared" si="4"/>
        <v>1.2321840000000008</v>
      </c>
      <c r="I27" s="13">
        <f t="shared" si="4"/>
        <v>1.4742239999999986</v>
      </c>
      <c r="J27" s="13">
        <f t="shared" si="4"/>
        <v>1.5116640000000001</v>
      </c>
      <c r="K27" s="13">
        <f t="shared" si="4"/>
        <v>1.5686279999999999</v>
      </c>
      <c r="L27" s="13">
        <f t="shared" si="4"/>
        <v>1.6462560000000002</v>
      </c>
      <c r="M27" s="13">
        <f t="shared" si="4"/>
        <v>1.7013359999999988</v>
      </c>
      <c r="N27" s="13">
        <f t="shared" si="4"/>
        <v>1.8454680000000001</v>
      </c>
      <c r="O27" s="13">
        <f t="shared" si="4"/>
        <v>1.9070640000000003</v>
      </c>
      <c r="P27" s="13">
        <f t="shared" si="4"/>
        <v>2.0049240000000004</v>
      </c>
      <c r="Q27" s="13">
        <f t="shared" si="4"/>
        <v>2.0562360000000002</v>
      </c>
      <c r="R27" s="13">
        <f t="shared" si="4"/>
        <v>2.1354120000000005</v>
      </c>
      <c r="S27" s="13">
        <f t="shared" si="4"/>
        <v>2.1704640000000013</v>
      </c>
      <c r="T27" s="13">
        <f t="shared" si="4"/>
        <v>2.2525679999999997</v>
      </c>
      <c r="U27" s="13">
        <f t="shared" si="4"/>
        <v>2.3433480000000002</v>
      </c>
      <c r="V27" s="13">
        <f t="shared" si="4"/>
        <v>2.4247799999999988</v>
      </c>
      <c r="W27" s="13">
        <f t="shared" si="4"/>
        <v>2.5365000000000002</v>
      </c>
      <c r="X27" s="13">
        <f t="shared" si="4"/>
        <v>2.6352840000000004</v>
      </c>
      <c r="Y27" s="13">
        <f t="shared" si="4"/>
        <v>2.7115319999999992</v>
      </c>
      <c r="Z27" s="13">
        <f t="shared" si="4"/>
        <v>2.8564679999999996</v>
      </c>
    </row>
    <row r="28" spans="4:26" x14ac:dyDescent="0.25">
      <c r="D28" t="s">
        <v>27</v>
      </c>
      <c r="E28">
        <f>17/100*E20</f>
        <v>0.56099999999999961</v>
      </c>
      <c r="F28" s="13">
        <f t="shared" ref="F28:Z28" si="5">17/100*F20</f>
        <v>1.0986589999999998</v>
      </c>
      <c r="G28" s="13">
        <f t="shared" si="5"/>
        <v>1.4232060000000017</v>
      </c>
      <c r="H28" s="13">
        <f t="shared" si="5"/>
        <v>1.7455940000000014</v>
      </c>
      <c r="I28" s="13">
        <f t="shared" si="5"/>
        <v>2.0884839999999985</v>
      </c>
      <c r="J28" s="13">
        <f t="shared" si="5"/>
        <v>2.1415240000000004</v>
      </c>
      <c r="K28" s="13">
        <f t="shared" si="5"/>
        <v>2.2222230000000001</v>
      </c>
      <c r="L28" s="13">
        <f t="shared" si="5"/>
        <v>2.3321960000000006</v>
      </c>
      <c r="M28" s="13">
        <f t="shared" si="5"/>
        <v>2.4102259999999984</v>
      </c>
      <c r="N28" s="13">
        <f t="shared" si="5"/>
        <v>2.6144130000000003</v>
      </c>
      <c r="O28" s="13">
        <f t="shared" si="5"/>
        <v>2.7016740000000006</v>
      </c>
      <c r="P28" s="13">
        <f t="shared" si="5"/>
        <v>2.8403090000000009</v>
      </c>
      <c r="Q28" s="13">
        <f t="shared" si="5"/>
        <v>2.9130010000000004</v>
      </c>
      <c r="R28" s="13">
        <f t="shared" si="5"/>
        <v>3.025167000000001</v>
      </c>
      <c r="S28" s="13">
        <f t="shared" si="5"/>
        <v>3.0748240000000018</v>
      </c>
      <c r="T28" s="13">
        <f t="shared" si="5"/>
        <v>3.191138</v>
      </c>
      <c r="U28" s="13">
        <f t="shared" si="5"/>
        <v>3.3197430000000008</v>
      </c>
      <c r="V28" s="13">
        <f t="shared" si="5"/>
        <v>3.4351049999999987</v>
      </c>
      <c r="W28" s="13">
        <f t="shared" si="5"/>
        <v>3.5933750000000009</v>
      </c>
      <c r="X28" s="13">
        <f t="shared" si="5"/>
        <v>3.7333190000000007</v>
      </c>
      <c r="Y28" s="13">
        <f t="shared" si="5"/>
        <v>3.8413369999999989</v>
      </c>
      <c r="Z28" s="13">
        <f t="shared" si="5"/>
        <v>4.0466629999999997</v>
      </c>
    </row>
    <row r="29" spans="4:26" x14ac:dyDescent="0.25">
      <c r="D29" t="s">
        <v>28</v>
      </c>
      <c r="E29">
        <f>13/100*E20</f>
        <v>0.42899999999999966</v>
      </c>
      <c r="F29" s="13">
        <f t="shared" ref="F29:Z29" si="6">13/100*F20</f>
        <v>0.84015099999999976</v>
      </c>
      <c r="G29" s="13">
        <f t="shared" si="6"/>
        <v>1.0883340000000012</v>
      </c>
      <c r="H29" s="13">
        <f t="shared" si="6"/>
        <v>1.334866000000001</v>
      </c>
      <c r="I29" s="13">
        <f t="shared" si="6"/>
        <v>1.5970759999999986</v>
      </c>
      <c r="J29" s="13">
        <f t="shared" si="6"/>
        <v>1.6376360000000001</v>
      </c>
      <c r="K29" s="13">
        <f t="shared" si="6"/>
        <v>1.6993469999999999</v>
      </c>
      <c r="L29" s="13">
        <f t="shared" si="6"/>
        <v>1.7834440000000003</v>
      </c>
      <c r="M29" s="13">
        <f t="shared" si="6"/>
        <v>1.8431139999999988</v>
      </c>
      <c r="N29" s="13">
        <f t="shared" si="6"/>
        <v>1.9992570000000003</v>
      </c>
      <c r="O29" s="13">
        <f t="shared" si="6"/>
        <v>2.0659860000000005</v>
      </c>
      <c r="P29" s="13">
        <f t="shared" si="6"/>
        <v>2.1720010000000003</v>
      </c>
      <c r="Q29" s="13">
        <f t="shared" si="6"/>
        <v>2.227589</v>
      </c>
      <c r="R29" s="13">
        <f t="shared" si="6"/>
        <v>2.3133630000000007</v>
      </c>
      <c r="S29" s="13">
        <f t="shared" si="6"/>
        <v>2.3513360000000012</v>
      </c>
      <c r="T29" s="13">
        <f t="shared" si="6"/>
        <v>2.4402820000000003</v>
      </c>
      <c r="U29" s="13">
        <f t="shared" si="6"/>
        <v>2.5386270000000004</v>
      </c>
      <c r="V29" s="13">
        <f t="shared" si="6"/>
        <v>2.626844999999999</v>
      </c>
      <c r="W29" s="13">
        <f t="shared" si="6"/>
        <v>2.7478750000000005</v>
      </c>
      <c r="X29" s="13">
        <f t="shared" si="6"/>
        <v>2.8548910000000003</v>
      </c>
      <c r="Y29" s="13">
        <f t="shared" si="6"/>
        <v>2.937492999999999</v>
      </c>
      <c r="Z29" s="13">
        <f t="shared" si="6"/>
        <v>3.0945070000000001</v>
      </c>
    </row>
    <row r="30" spans="4:26" x14ac:dyDescent="0.25">
      <c r="D30" t="s">
        <v>29</v>
      </c>
      <c r="E30">
        <f>15/100*E20</f>
        <v>0.49499999999999955</v>
      </c>
      <c r="F30" s="13">
        <f t="shared" ref="F30:Z30" si="7">15/100*F20</f>
        <v>0.96940499999999963</v>
      </c>
      <c r="G30" s="13">
        <f t="shared" si="7"/>
        <v>1.2557700000000014</v>
      </c>
      <c r="H30" s="13">
        <f t="shared" si="7"/>
        <v>1.5402300000000011</v>
      </c>
      <c r="I30" s="13">
        <f t="shared" si="7"/>
        <v>1.8427799999999983</v>
      </c>
      <c r="J30" s="13">
        <f t="shared" si="7"/>
        <v>1.88958</v>
      </c>
      <c r="K30" s="13">
        <f t="shared" si="7"/>
        <v>1.9607849999999998</v>
      </c>
      <c r="L30" s="13">
        <f t="shared" si="7"/>
        <v>2.05782</v>
      </c>
      <c r="M30" s="13">
        <f t="shared" si="7"/>
        <v>2.1266699999999985</v>
      </c>
      <c r="N30" s="13">
        <f t="shared" si="7"/>
        <v>2.306835</v>
      </c>
      <c r="O30" s="13">
        <f t="shared" si="7"/>
        <v>2.3838300000000001</v>
      </c>
      <c r="P30" s="13">
        <f t="shared" si="7"/>
        <v>2.5061550000000001</v>
      </c>
      <c r="Q30" s="13">
        <f t="shared" si="7"/>
        <v>2.5702950000000002</v>
      </c>
      <c r="R30" s="13">
        <f t="shared" si="7"/>
        <v>2.6692650000000007</v>
      </c>
      <c r="S30" s="13">
        <f t="shared" si="7"/>
        <v>2.7130800000000015</v>
      </c>
      <c r="T30" s="13">
        <f t="shared" si="7"/>
        <v>2.8157099999999997</v>
      </c>
      <c r="U30" s="13">
        <f t="shared" si="7"/>
        <v>2.9291850000000004</v>
      </c>
      <c r="V30" s="13">
        <f t="shared" si="7"/>
        <v>3.0309749999999984</v>
      </c>
      <c r="W30" s="13">
        <f t="shared" si="7"/>
        <v>3.1706250000000002</v>
      </c>
      <c r="X30" s="13">
        <f t="shared" si="7"/>
        <v>3.2941050000000005</v>
      </c>
      <c r="Y30" s="13">
        <f t="shared" si="7"/>
        <v>3.3894149999999987</v>
      </c>
      <c r="Z30" s="13">
        <f t="shared" si="7"/>
        <v>3.5705849999999999</v>
      </c>
    </row>
    <row r="34" spans="4:26" x14ac:dyDescent="0.25">
      <c r="D34" s="45" t="s">
        <v>24</v>
      </c>
      <c r="E34" s="28">
        <v>0.65999999999999903</v>
      </c>
      <c r="F34" s="28">
        <v>1.29254</v>
      </c>
      <c r="G34" s="28">
        <v>1.6743600000000016</v>
      </c>
      <c r="H34" s="28">
        <v>2.0536400000000015</v>
      </c>
      <c r="I34" s="28">
        <v>2.4570399999999979</v>
      </c>
      <c r="J34" s="28">
        <v>2.5194400000000003</v>
      </c>
      <c r="K34" s="28">
        <v>2.6143800000000001</v>
      </c>
      <c r="L34" s="28">
        <v>2.7437600000000004</v>
      </c>
      <c r="M34" s="28">
        <v>2.8355599999999983</v>
      </c>
      <c r="N34" s="28">
        <v>3.0757800000000004</v>
      </c>
      <c r="O34" s="28">
        <v>3.1784400000000006</v>
      </c>
      <c r="P34" s="28">
        <v>3.3415400000000006</v>
      </c>
      <c r="Q34" s="28">
        <v>3.4270600000000004</v>
      </c>
      <c r="R34" s="28">
        <v>3.5590200000000012</v>
      </c>
      <c r="S34" s="28">
        <v>3.617440000000002</v>
      </c>
      <c r="T34" s="28">
        <v>3.7542800000000001</v>
      </c>
      <c r="U34" s="28">
        <v>3.9055800000000005</v>
      </c>
      <c r="V34" s="28">
        <v>4.0412999999999988</v>
      </c>
      <c r="W34" s="28">
        <v>4.2275000000000009</v>
      </c>
      <c r="X34" s="28">
        <v>4.3921400000000004</v>
      </c>
      <c r="Y34" s="28">
        <v>4.5192199999999989</v>
      </c>
      <c r="Z34" s="28">
        <v>4.7607799999999996</v>
      </c>
    </row>
    <row r="35" spans="4:26" x14ac:dyDescent="0.25">
      <c r="D35" s="45" t="s">
        <v>25</v>
      </c>
      <c r="E35" s="28">
        <v>0.75899999999999934</v>
      </c>
      <c r="F35" s="28">
        <v>1.4864209999999995</v>
      </c>
      <c r="G35" s="28">
        <v>1.9255140000000017</v>
      </c>
      <c r="H35" s="28">
        <v>2.361686000000002</v>
      </c>
      <c r="I35" s="28">
        <v>2.8255959999999978</v>
      </c>
      <c r="J35" s="28">
        <v>2.8973560000000003</v>
      </c>
      <c r="K35" s="28">
        <v>3.0065369999999998</v>
      </c>
      <c r="L35" s="28">
        <v>3.1553240000000007</v>
      </c>
      <c r="M35" s="28">
        <v>3.2608939999999982</v>
      </c>
      <c r="N35" s="28">
        <v>3.5371470000000005</v>
      </c>
      <c r="O35" s="28">
        <v>3.6552060000000006</v>
      </c>
      <c r="P35" s="28">
        <v>3.8427710000000008</v>
      </c>
      <c r="Q35" s="28">
        <v>3.9411190000000005</v>
      </c>
      <c r="R35" s="28">
        <v>4.0928730000000018</v>
      </c>
      <c r="S35" s="28">
        <v>4.1600560000000026</v>
      </c>
      <c r="T35" s="28">
        <v>4.3174220000000005</v>
      </c>
      <c r="U35" s="28">
        <v>4.4914170000000011</v>
      </c>
      <c r="V35" s="28">
        <v>4.6474949999999984</v>
      </c>
      <c r="W35" s="28">
        <v>4.861625000000001</v>
      </c>
      <c r="X35" s="28">
        <v>5.0509610000000009</v>
      </c>
      <c r="Y35" s="28">
        <v>5.1971029999999985</v>
      </c>
      <c r="Z35" s="28">
        <v>5.4748970000000003</v>
      </c>
    </row>
    <row r="36" spans="4:26" x14ac:dyDescent="0.25">
      <c r="D36" s="45" t="s">
        <v>26</v>
      </c>
      <c r="E36" s="28">
        <v>0.39599999999999963</v>
      </c>
      <c r="F36" s="28">
        <v>0.77552399999999977</v>
      </c>
      <c r="G36" s="28">
        <v>1.0046160000000008</v>
      </c>
      <c r="H36" s="28">
        <v>1.2321840000000008</v>
      </c>
      <c r="I36" s="28">
        <v>1.4742239999999986</v>
      </c>
      <c r="J36" s="28">
        <v>1.5116640000000001</v>
      </c>
      <c r="K36" s="28">
        <v>1.5686279999999999</v>
      </c>
      <c r="L36" s="28">
        <v>1.6462560000000002</v>
      </c>
      <c r="M36" s="28">
        <v>1.7013359999999988</v>
      </c>
      <c r="N36" s="28">
        <v>1.8454680000000001</v>
      </c>
      <c r="O36" s="28">
        <v>1.9070640000000003</v>
      </c>
      <c r="P36" s="28">
        <v>2.0049240000000004</v>
      </c>
      <c r="Q36" s="28">
        <v>2.0562360000000002</v>
      </c>
      <c r="R36" s="28">
        <v>2.1354120000000005</v>
      </c>
      <c r="S36" s="28">
        <v>2.1704640000000013</v>
      </c>
      <c r="T36" s="28">
        <v>2.2525679999999997</v>
      </c>
      <c r="U36" s="28">
        <v>2.3433480000000002</v>
      </c>
      <c r="V36" s="28">
        <v>2.4247799999999988</v>
      </c>
      <c r="W36" s="28">
        <v>2.5365000000000002</v>
      </c>
      <c r="X36" s="28">
        <v>2.6352840000000004</v>
      </c>
      <c r="Y36" s="28">
        <v>2.7115319999999992</v>
      </c>
      <c r="Z36" s="28">
        <v>2.8564679999999996</v>
      </c>
    </row>
    <row r="37" spans="4:26" x14ac:dyDescent="0.25">
      <c r="D37" s="45" t="s">
        <v>27</v>
      </c>
      <c r="E37" s="28">
        <v>0.56099999999999961</v>
      </c>
      <c r="F37" s="28">
        <v>1.0986589999999998</v>
      </c>
      <c r="G37" s="28">
        <v>1.4232060000000013</v>
      </c>
      <c r="H37" s="28">
        <v>1.7455940000000014</v>
      </c>
      <c r="I37" s="28">
        <v>2.0884839999999985</v>
      </c>
      <c r="J37" s="28">
        <v>2.1415240000000004</v>
      </c>
      <c r="K37" s="28">
        <v>2.2222230000000001</v>
      </c>
      <c r="L37" s="28">
        <v>2.3321960000000006</v>
      </c>
      <c r="M37" s="28">
        <v>2.4102259999999984</v>
      </c>
      <c r="N37" s="28">
        <v>2.6144130000000003</v>
      </c>
      <c r="O37" s="28">
        <v>2.7016740000000006</v>
      </c>
      <c r="P37" s="28">
        <v>2.8403090000000009</v>
      </c>
      <c r="Q37" s="28">
        <v>2.9130010000000004</v>
      </c>
      <c r="R37" s="28">
        <v>3.025167000000001</v>
      </c>
      <c r="S37" s="28">
        <v>3.0748240000000018</v>
      </c>
      <c r="T37" s="28">
        <v>3.191138</v>
      </c>
      <c r="U37" s="28">
        <v>3.3197430000000008</v>
      </c>
      <c r="V37" s="28">
        <v>3.4351049999999987</v>
      </c>
      <c r="W37" s="28">
        <v>3.5933750000000009</v>
      </c>
      <c r="X37" s="28">
        <v>3.7333190000000007</v>
      </c>
      <c r="Y37" s="28">
        <v>3.8413369999999989</v>
      </c>
      <c r="Z37" s="28">
        <v>4.0466629999999997</v>
      </c>
    </row>
    <row r="38" spans="4:26" x14ac:dyDescent="0.25">
      <c r="D38" s="45" t="s">
        <v>28</v>
      </c>
      <c r="E38" s="28">
        <v>0.42899999999999966</v>
      </c>
      <c r="F38" s="28">
        <v>0.84015099999999976</v>
      </c>
      <c r="G38" s="28">
        <v>1.088334000000001</v>
      </c>
      <c r="H38" s="28">
        <v>1.334866000000001</v>
      </c>
      <c r="I38" s="28">
        <v>1.5970759999999986</v>
      </c>
      <c r="J38" s="28">
        <v>1.6376360000000001</v>
      </c>
      <c r="K38" s="28">
        <v>1.6993469999999999</v>
      </c>
      <c r="L38" s="28">
        <v>1.7834440000000003</v>
      </c>
      <c r="M38" s="28">
        <v>1.8431139999999988</v>
      </c>
      <c r="N38" s="28">
        <v>1.9992570000000003</v>
      </c>
      <c r="O38" s="28">
        <v>2.0659860000000005</v>
      </c>
      <c r="P38" s="28">
        <v>2.1720010000000003</v>
      </c>
      <c r="Q38" s="28">
        <v>2.227589</v>
      </c>
      <c r="R38" s="28">
        <v>2.3133630000000007</v>
      </c>
      <c r="S38" s="28">
        <v>2.3513360000000012</v>
      </c>
      <c r="T38" s="28">
        <v>2.4402820000000003</v>
      </c>
      <c r="U38" s="28">
        <v>2.5386270000000004</v>
      </c>
      <c r="V38" s="28">
        <v>2.626844999999999</v>
      </c>
      <c r="W38" s="28">
        <v>2.7478750000000005</v>
      </c>
      <c r="X38" s="28">
        <v>2.8548910000000003</v>
      </c>
      <c r="Y38" s="28">
        <v>2.937492999999999</v>
      </c>
      <c r="Z38" s="28">
        <v>3.0945070000000001</v>
      </c>
    </row>
    <row r="39" spans="4:26" x14ac:dyDescent="0.25">
      <c r="D39" s="45" t="s">
        <v>29</v>
      </c>
      <c r="E39" s="28">
        <v>0.49499999999999955</v>
      </c>
      <c r="F39" s="28">
        <v>0.96940499999999963</v>
      </c>
      <c r="G39" s="28">
        <v>1.2557700000000012</v>
      </c>
      <c r="H39" s="28">
        <v>1.5402300000000011</v>
      </c>
      <c r="I39" s="28">
        <v>1.8427799999999983</v>
      </c>
      <c r="J39" s="28">
        <v>1.88958</v>
      </c>
      <c r="K39" s="28">
        <v>1.9607849999999998</v>
      </c>
      <c r="L39" s="28">
        <v>2.05782</v>
      </c>
      <c r="M39" s="28">
        <v>2.1266699999999985</v>
      </c>
      <c r="N39" s="28">
        <v>2.306835</v>
      </c>
      <c r="O39" s="28">
        <v>2.3838300000000001</v>
      </c>
      <c r="P39" s="28">
        <v>2.5061550000000001</v>
      </c>
      <c r="Q39" s="28">
        <v>2.5702950000000002</v>
      </c>
      <c r="R39" s="28">
        <v>2.6692650000000007</v>
      </c>
      <c r="S39" s="28">
        <v>2.7130800000000015</v>
      </c>
      <c r="T39" s="28">
        <v>2.8157099999999997</v>
      </c>
      <c r="U39" s="28">
        <v>2.9291850000000004</v>
      </c>
      <c r="V39" s="28">
        <v>3.0309749999999984</v>
      </c>
      <c r="W39" s="28">
        <v>3.1706250000000002</v>
      </c>
      <c r="X39" s="28">
        <v>3.2941050000000005</v>
      </c>
      <c r="Y39" s="28">
        <v>3.3894149999999987</v>
      </c>
      <c r="Z39" s="28">
        <v>3.5705849999999999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32EB-99CF-4C68-83BD-30D7EF8ECAE2}">
  <dimension ref="G5:AB16"/>
  <sheetViews>
    <sheetView workbookViewId="0">
      <selection activeCell="G4" sqref="G4:AB13"/>
    </sheetView>
  </sheetViews>
  <sheetFormatPr defaultRowHeight="15" x14ac:dyDescent="0.25"/>
  <cols>
    <col min="7" max="7" width="20.85546875" bestFit="1" customWidth="1"/>
    <col min="8" max="8" width="12.5703125" bestFit="1" customWidth="1"/>
    <col min="9" max="9" width="9.28515625" bestFit="1" customWidth="1"/>
    <col min="10" max="10" width="12.5703125" bestFit="1" customWidth="1"/>
    <col min="11" max="11" width="9.28515625" bestFit="1" customWidth="1"/>
    <col min="12" max="12" width="13.7109375" bestFit="1" customWidth="1"/>
    <col min="13" max="13" width="9.28515625" bestFit="1" customWidth="1"/>
    <col min="14" max="14" width="13.7109375" bestFit="1" customWidth="1"/>
    <col min="15" max="15" width="9.28515625" bestFit="1" customWidth="1"/>
    <col min="16" max="16" width="13.7109375" bestFit="1" customWidth="1"/>
    <col min="17" max="17" width="9.28515625" bestFit="1" customWidth="1"/>
    <col min="18" max="18" width="13.7109375" bestFit="1" customWidth="1"/>
    <col min="19" max="19" width="9.28515625" bestFit="1" customWidth="1"/>
    <col min="20" max="20" width="13.7109375" bestFit="1" customWidth="1"/>
    <col min="21" max="21" width="9.28515625" bestFit="1" customWidth="1"/>
    <col min="22" max="22" width="13.7109375" bestFit="1" customWidth="1"/>
    <col min="23" max="23" width="9.28515625" bestFit="1" customWidth="1"/>
    <col min="24" max="24" width="13.7109375" bestFit="1" customWidth="1"/>
    <col min="25" max="25" width="9.28515625" bestFit="1" customWidth="1"/>
    <col min="26" max="26" width="13.7109375" bestFit="1" customWidth="1"/>
    <col min="27" max="27" width="9.28515625" bestFit="1" customWidth="1"/>
    <col min="28" max="28" width="13.7109375" bestFit="1" customWidth="1"/>
  </cols>
  <sheetData>
    <row r="5" spans="7:28" x14ac:dyDescent="0.25">
      <c r="G5" s="2"/>
      <c r="H5" s="2">
        <v>2027</v>
      </c>
      <c r="I5" s="2">
        <v>2028</v>
      </c>
      <c r="J5" s="2">
        <v>2029</v>
      </c>
      <c r="K5" s="2">
        <v>2030</v>
      </c>
      <c r="L5" s="2">
        <v>2031</v>
      </c>
      <c r="M5" s="2">
        <v>2032</v>
      </c>
      <c r="N5" s="2">
        <v>2033</v>
      </c>
      <c r="O5" s="2">
        <v>2034</v>
      </c>
      <c r="P5" s="2">
        <v>2035</v>
      </c>
      <c r="Q5" s="2">
        <v>2036</v>
      </c>
      <c r="R5" s="2">
        <v>2037</v>
      </c>
      <c r="S5" s="2">
        <v>2038</v>
      </c>
      <c r="T5" s="2">
        <v>2039</v>
      </c>
      <c r="U5" s="2">
        <v>2040</v>
      </c>
      <c r="V5" s="2">
        <v>2041</v>
      </c>
      <c r="W5" s="2">
        <v>2042</v>
      </c>
      <c r="X5" s="2">
        <v>2043</v>
      </c>
      <c r="Y5" s="2">
        <v>2044</v>
      </c>
      <c r="Z5" s="2">
        <v>2045</v>
      </c>
      <c r="AA5" s="2">
        <v>2046</v>
      </c>
      <c r="AB5" s="2">
        <v>2047</v>
      </c>
    </row>
    <row r="6" spans="7:28" x14ac:dyDescent="0.25">
      <c r="G6" s="43" t="s">
        <v>34</v>
      </c>
      <c r="H6" s="46">
        <v>2</v>
      </c>
      <c r="I6" s="46"/>
      <c r="J6" s="46">
        <v>4</v>
      </c>
      <c r="K6" s="46"/>
      <c r="L6" s="46">
        <v>6</v>
      </c>
      <c r="M6" s="46"/>
      <c r="N6" s="46">
        <v>8</v>
      </c>
      <c r="O6" s="46"/>
      <c r="P6" s="46">
        <v>10</v>
      </c>
      <c r="Q6" s="46"/>
      <c r="R6" s="46">
        <v>12</v>
      </c>
      <c r="S6" s="46"/>
      <c r="T6" s="46">
        <v>14</v>
      </c>
      <c r="U6" s="46"/>
      <c r="V6" s="46">
        <v>16</v>
      </c>
      <c r="W6" s="46"/>
      <c r="X6" s="46">
        <v>18</v>
      </c>
      <c r="Y6" s="46"/>
      <c r="Z6" s="46">
        <v>20</v>
      </c>
      <c r="AA6" s="46"/>
      <c r="AB6" s="42">
        <v>22</v>
      </c>
    </row>
    <row r="7" spans="7:28" x14ac:dyDescent="0.25">
      <c r="G7" s="40" t="s">
        <v>31</v>
      </c>
      <c r="H7" s="47">
        <f>H6/3</f>
        <v>0.66666666666666663</v>
      </c>
      <c r="I7" s="48"/>
      <c r="J7" s="47">
        <f>J6/3</f>
        <v>1.3333333333333333</v>
      </c>
      <c r="K7" s="48"/>
      <c r="L7" s="47">
        <f>L6/3</f>
        <v>2</v>
      </c>
      <c r="M7" s="48"/>
      <c r="N7" s="47">
        <f>N6/3</f>
        <v>2.6666666666666665</v>
      </c>
      <c r="O7" s="48"/>
      <c r="P7" s="47">
        <f>P6/3</f>
        <v>3.3333333333333335</v>
      </c>
      <c r="Q7" s="48"/>
      <c r="R7" s="47">
        <f>R6/3</f>
        <v>4</v>
      </c>
      <c r="S7" s="48"/>
      <c r="T7" s="47">
        <f>T6/3</f>
        <v>4.666666666666667</v>
      </c>
      <c r="U7" s="48"/>
      <c r="V7" s="47">
        <f>V6/3</f>
        <v>5.333333333333333</v>
      </c>
      <c r="W7" s="48"/>
      <c r="X7" s="47">
        <f>X6/3</f>
        <v>6</v>
      </c>
      <c r="Y7" s="48"/>
      <c r="Z7" s="47">
        <f>Z6/3</f>
        <v>6.666666666666667</v>
      </c>
      <c r="AA7" s="48"/>
      <c r="AB7" s="41">
        <f>AB6/3</f>
        <v>7.333333333333333</v>
      </c>
    </row>
    <row r="8" spans="7:28" x14ac:dyDescent="0.25">
      <c r="G8" s="40" t="s">
        <v>35</v>
      </c>
      <c r="H8" s="49">
        <f>H7*500000</f>
        <v>333333.33333333331</v>
      </c>
      <c r="I8" s="50"/>
      <c r="J8" s="49">
        <f>J7*500000</f>
        <v>666666.66666666663</v>
      </c>
      <c r="K8" s="50"/>
      <c r="L8" s="49">
        <f>L7*500000</f>
        <v>1000000</v>
      </c>
      <c r="M8" s="50"/>
      <c r="N8" s="49">
        <f>N7*500000</f>
        <v>1333333.3333333333</v>
      </c>
      <c r="O8" s="50"/>
      <c r="P8" s="49">
        <f>P7*500000</f>
        <v>1666666.6666666667</v>
      </c>
      <c r="Q8" s="50"/>
      <c r="R8" s="49">
        <f>R7*500000</f>
        <v>2000000</v>
      </c>
      <c r="S8" s="50"/>
      <c r="T8" s="49">
        <f>T7*500000</f>
        <v>2333333.3333333335</v>
      </c>
      <c r="U8" s="50"/>
      <c r="V8" s="47">
        <f>V7*500000</f>
        <v>2666666.6666666665</v>
      </c>
      <c r="W8" s="48"/>
      <c r="X8" s="47">
        <f>X7*500000</f>
        <v>3000000</v>
      </c>
      <c r="Y8" s="48"/>
      <c r="Z8" s="47">
        <f>Z7*500000</f>
        <v>3333333.3333333335</v>
      </c>
      <c r="AA8" s="48"/>
      <c r="AB8" s="41">
        <f>AB7*500000</f>
        <v>3666666.6666666665</v>
      </c>
    </row>
    <row r="9" spans="7:28" x14ac:dyDescent="0.25">
      <c r="G9" s="40" t="s">
        <v>30</v>
      </c>
      <c r="H9" s="47">
        <f>H8/1000000</f>
        <v>0.33333333333333331</v>
      </c>
      <c r="I9" s="48"/>
      <c r="J9" s="47">
        <f t="shared" ref="J9:AB9" si="0">J8/1000000</f>
        <v>0.66666666666666663</v>
      </c>
      <c r="K9" s="48"/>
      <c r="L9" s="47">
        <f t="shared" si="0"/>
        <v>1</v>
      </c>
      <c r="M9" s="48"/>
      <c r="N9" s="47">
        <f t="shared" si="0"/>
        <v>1.3333333333333333</v>
      </c>
      <c r="O9" s="48"/>
      <c r="P9" s="47">
        <f t="shared" si="0"/>
        <v>1.6666666666666667</v>
      </c>
      <c r="Q9" s="48"/>
      <c r="R9" s="47">
        <f t="shared" si="0"/>
        <v>2</v>
      </c>
      <c r="S9" s="48"/>
      <c r="T9" s="47">
        <f t="shared" si="0"/>
        <v>2.3333333333333335</v>
      </c>
      <c r="U9" s="48"/>
      <c r="V9" s="47">
        <f t="shared" si="0"/>
        <v>2.6666666666666665</v>
      </c>
      <c r="W9" s="48"/>
      <c r="X9" s="47">
        <f t="shared" si="0"/>
        <v>3</v>
      </c>
      <c r="Y9" s="48"/>
      <c r="Z9" s="47">
        <f t="shared" si="0"/>
        <v>3.3333333333333335</v>
      </c>
      <c r="AA9" s="48"/>
      <c r="AB9" s="41">
        <f t="shared" si="0"/>
        <v>3.6666666666666665</v>
      </c>
    </row>
    <row r="12" spans="7:28" x14ac:dyDescent="0.25">
      <c r="G12" s="51" t="s">
        <v>36</v>
      </c>
      <c r="H12" s="51"/>
      <c r="I12" s="51"/>
      <c r="J12" s="51"/>
      <c r="K12" s="51"/>
      <c r="L12" s="51"/>
      <c r="M12" s="51"/>
      <c r="N12" s="51"/>
    </row>
    <row r="16" spans="7:28" x14ac:dyDescent="0.25"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</sheetData>
  <mergeCells count="41">
    <mergeCell ref="Z7:AA7"/>
    <mergeCell ref="Z8:AA8"/>
    <mergeCell ref="Z9:AA9"/>
    <mergeCell ref="V7:W7"/>
    <mergeCell ref="V8:W8"/>
    <mergeCell ref="V9:W9"/>
    <mergeCell ref="X7:Y7"/>
    <mergeCell ref="X8:Y8"/>
    <mergeCell ref="X9:Y9"/>
    <mergeCell ref="G12:N12"/>
    <mergeCell ref="N7:O7"/>
    <mergeCell ref="N8:O8"/>
    <mergeCell ref="N9:O9"/>
    <mergeCell ref="P7:Q7"/>
    <mergeCell ref="P8:Q8"/>
    <mergeCell ref="P9:Q9"/>
    <mergeCell ref="H8:I8"/>
    <mergeCell ref="J8:K8"/>
    <mergeCell ref="H9:I9"/>
    <mergeCell ref="H7:I7"/>
    <mergeCell ref="J7:K7"/>
    <mergeCell ref="J9:K9"/>
    <mergeCell ref="L7:M7"/>
    <mergeCell ref="L8:M8"/>
    <mergeCell ref="L9:M9"/>
    <mergeCell ref="R7:S7"/>
    <mergeCell ref="R8:S8"/>
    <mergeCell ref="R9:S9"/>
    <mergeCell ref="T7:U7"/>
    <mergeCell ref="T6:U6"/>
    <mergeCell ref="T8:U8"/>
    <mergeCell ref="T9:U9"/>
    <mergeCell ref="V6:W6"/>
    <mergeCell ref="X6:Y6"/>
    <mergeCell ref="Z6:AA6"/>
    <mergeCell ref="H6:I6"/>
    <mergeCell ref="J6:K6"/>
    <mergeCell ref="L6:M6"/>
    <mergeCell ref="N6:O6"/>
    <mergeCell ref="P6:Q6"/>
    <mergeCell ref="R6:S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EAB3-4029-4AD2-B5ED-F506FCC7F859}">
  <dimension ref="D2:AB9"/>
  <sheetViews>
    <sheetView workbookViewId="0">
      <selection activeCell="N45" sqref="N45"/>
    </sheetView>
  </sheetViews>
  <sheetFormatPr defaultRowHeight="15" x14ac:dyDescent="0.25"/>
  <cols>
    <col min="5" max="5" width="11.140625" bestFit="1" customWidth="1"/>
  </cols>
  <sheetData>
    <row r="2" spans="4:28" ht="23.25" x14ac:dyDescent="0.35">
      <c r="M2" s="52" t="s">
        <v>33</v>
      </c>
      <c r="N2" s="52"/>
      <c r="O2" s="52"/>
      <c r="P2" s="52"/>
      <c r="Q2" s="52"/>
      <c r="R2" s="52"/>
    </row>
    <row r="4" spans="4:28" x14ac:dyDescent="0.25">
      <c r="D4" s="39"/>
      <c r="E4" s="23" t="s">
        <v>9</v>
      </c>
      <c r="F4" s="22">
        <v>2048</v>
      </c>
      <c r="G4" s="2">
        <v>2049</v>
      </c>
      <c r="H4" s="2">
        <v>2050</v>
      </c>
      <c r="I4" s="2">
        <v>2051</v>
      </c>
      <c r="J4" s="2">
        <v>2052</v>
      </c>
      <c r="K4" s="2">
        <v>2053</v>
      </c>
      <c r="L4" s="2">
        <v>2054</v>
      </c>
      <c r="M4" s="2">
        <v>2055</v>
      </c>
      <c r="N4" s="2">
        <v>2056</v>
      </c>
      <c r="O4" s="2">
        <v>2057</v>
      </c>
      <c r="P4" s="2">
        <v>2058</v>
      </c>
      <c r="Q4" s="2">
        <v>2059</v>
      </c>
      <c r="R4" s="2">
        <v>2060</v>
      </c>
      <c r="S4" s="2">
        <v>2061</v>
      </c>
      <c r="T4" s="2">
        <v>2062</v>
      </c>
      <c r="U4" s="2">
        <v>2063</v>
      </c>
      <c r="V4" s="2">
        <v>2064</v>
      </c>
      <c r="W4" s="2">
        <v>2065</v>
      </c>
      <c r="X4" s="2">
        <v>2066</v>
      </c>
      <c r="Y4" s="2">
        <v>2067</v>
      </c>
      <c r="Z4" s="2">
        <v>2068</v>
      </c>
      <c r="AA4" s="2">
        <v>2069</v>
      </c>
      <c r="AB4" s="2">
        <v>2070</v>
      </c>
    </row>
    <row r="5" spans="4:28" s="13" customFormat="1" x14ac:dyDescent="0.25">
      <c r="D5" s="38">
        <v>386</v>
      </c>
      <c r="E5" s="23" t="s">
        <v>32</v>
      </c>
      <c r="F5" s="21">
        <f>D5+8</f>
        <v>394</v>
      </c>
      <c r="G5" s="21">
        <f>F5+8</f>
        <v>402</v>
      </c>
      <c r="H5" s="21">
        <f t="shared" ref="H5:AB5" si="0">G5+8</f>
        <v>410</v>
      </c>
      <c r="I5" s="21">
        <f t="shared" si="0"/>
        <v>418</v>
      </c>
      <c r="J5" s="21">
        <f>I5+8</f>
        <v>426</v>
      </c>
      <c r="K5" s="21">
        <f>J5+8</f>
        <v>434</v>
      </c>
      <c r="L5" s="21">
        <f t="shared" si="0"/>
        <v>442</v>
      </c>
      <c r="M5" s="21">
        <f>L5+8</f>
        <v>450</v>
      </c>
      <c r="N5" s="21">
        <f>M5+8</f>
        <v>458</v>
      </c>
      <c r="O5" s="21">
        <f t="shared" si="0"/>
        <v>466</v>
      </c>
      <c r="P5" s="21">
        <f t="shared" si="0"/>
        <v>474</v>
      </c>
      <c r="Q5" s="21">
        <f t="shared" si="0"/>
        <v>482</v>
      </c>
      <c r="R5" s="21">
        <f t="shared" si="0"/>
        <v>490</v>
      </c>
      <c r="S5" s="21">
        <f t="shared" si="0"/>
        <v>498</v>
      </c>
      <c r="T5" s="21">
        <f t="shared" si="0"/>
        <v>506</v>
      </c>
      <c r="U5" s="21">
        <f t="shared" si="0"/>
        <v>514</v>
      </c>
      <c r="V5" s="21">
        <f t="shared" si="0"/>
        <v>522</v>
      </c>
      <c r="W5" s="21">
        <f t="shared" si="0"/>
        <v>530</v>
      </c>
      <c r="X5" s="21">
        <f t="shared" si="0"/>
        <v>538</v>
      </c>
      <c r="Y5" s="21">
        <f t="shared" si="0"/>
        <v>546</v>
      </c>
      <c r="Z5" s="21">
        <f t="shared" si="0"/>
        <v>554</v>
      </c>
      <c r="AA5" s="21">
        <f t="shared" si="0"/>
        <v>562</v>
      </c>
      <c r="AB5" s="21">
        <f t="shared" si="0"/>
        <v>570</v>
      </c>
    </row>
    <row r="6" spans="4:28" x14ac:dyDescent="0.25">
      <c r="D6" s="24">
        <v>168.69710000000001</v>
      </c>
      <c r="E6" s="23" t="s">
        <v>11</v>
      </c>
      <c r="F6" s="25">
        <v>174</v>
      </c>
      <c r="G6" s="25">
        <v>179</v>
      </c>
      <c r="H6" s="25">
        <v>184</v>
      </c>
      <c r="I6" s="25">
        <v>189</v>
      </c>
      <c r="J6" s="25">
        <v>194</v>
      </c>
      <c r="K6" s="26">
        <v>199</v>
      </c>
      <c r="L6" s="26">
        <v>205</v>
      </c>
      <c r="M6" s="26">
        <v>209</v>
      </c>
      <c r="N6" s="26">
        <v>214</v>
      </c>
      <c r="O6" s="26">
        <v>219</v>
      </c>
      <c r="P6" s="26">
        <v>224</v>
      </c>
      <c r="Q6" s="26">
        <v>229</v>
      </c>
      <c r="R6" s="26">
        <v>234</v>
      </c>
      <c r="S6" s="26">
        <v>239</v>
      </c>
      <c r="T6" s="26">
        <v>244</v>
      </c>
      <c r="U6" s="26">
        <v>249</v>
      </c>
      <c r="V6" s="26">
        <v>254</v>
      </c>
      <c r="W6" s="26">
        <v>259</v>
      </c>
      <c r="X6" s="26">
        <v>264</v>
      </c>
      <c r="Y6" s="26">
        <v>269</v>
      </c>
      <c r="Z6" s="26">
        <v>274</v>
      </c>
      <c r="AA6" s="25">
        <v>279</v>
      </c>
      <c r="AB6" s="25">
        <v>284</v>
      </c>
    </row>
    <row r="7" spans="4:28" x14ac:dyDescent="0.25">
      <c r="D7" s="27">
        <v>68.2</v>
      </c>
      <c r="E7" s="23" t="s">
        <v>5</v>
      </c>
      <c r="F7" s="5">
        <v>68</v>
      </c>
      <c r="G7" s="5">
        <v>68</v>
      </c>
      <c r="H7" s="5">
        <v>67</v>
      </c>
      <c r="I7" s="5">
        <v>67</v>
      </c>
      <c r="J7" s="5">
        <v>67</v>
      </c>
      <c r="K7" s="11">
        <v>66</v>
      </c>
      <c r="L7" s="11">
        <v>66</v>
      </c>
      <c r="M7" s="11">
        <v>66</v>
      </c>
      <c r="N7" s="11">
        <v>65</v>
      </c>
      <c r="O7" s="11">
        <v>65</v>
      </c>
      <c r="P7" s="11">
        <v>65</v>
      </c>
      <c r="Q7" s="11">
        <v>64</v>
      </c>
      <c r="R7" s="11">
        <v>64</v>
      </c>
      <c r="S7" s="11">
        <v>64</v>
      </c>
      <c r="T7" s="11">
        <v>63</v>
      </c>
      <c r="U7" s="11">
        <v>63</v>
      </c>
      <c r="V7" s="11">
        <v>63</v>
      </c>
      <c r="W7" s="11">
        <v>62</v>
      </c>
      <c r="X7" s="11">
        <v>62</v>
      </c>
      <c r="Y7" s="11">
        <v>62</v>
      </c>
      <c r="Z7" s="11">
        <v>61</v>
      </c>
      <c r="AA7" s="11">
        <v>61</v>
      </c>
      <c r="AB7" s="11">
        <v>60</v>
      </c>
    </row>
    <row r="8" spans="4:28" x14ac:dyDescent="0.25">
      <c r="E8" s="13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 spans="4:28" x14ac:dyDescent="0.25">
      <c r="E9" s="13"/>
      <c r="F9" s="15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15"/>
    </row>
  </sheetData>
  <mergeCells count="1">
    <mergeCell ref="M2:R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Basin Data </vt:lpstr>
      <vt:lpstr>Projection upto 2070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Ali</dc:creator>
  <cp:lastModifiedBy>Junaid Aziz</cp:lastModifiedBy>
  <dcterms:created xsi:type="dcterms:W3CDTF">2015-06-05T18:17:20Z</dcterms:created>
  <dcterms:modified xsi:type="dcterms:W3CDTF">2026-09-17T09:46:55Z</dcterms:modified>
</cp:coreProperties>
</file>